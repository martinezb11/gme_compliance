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darssinai-my.sharepoint.com/personal/brian_martinez_cshs_org/Documents/Python Scripts/GME/demographic_output records/"/>
    </mc:Choice>
  </mc:AlternateContent>
  <xr:revisionPtr revIDLastSave="123" documentId="13_ncr:1_{78B2BB88-71B0-4166-841F-036978CF3203}" xr6:coauthVersionLast="47" xr6:coauthVersionMax="47" xr10:uidLastSave="{66FE01E3-2DB6-42B9-9707-3F260AD30721}"/>
  <bookViews>
    <workbookView xWindow="-120" yWindow="-120" windowWidth="29040" windowHeight="15720" xr2:uid="{00000000-000D-0000-FFFF-FFFF00000000}"/>
  </bookViews>
  <sheets>
    <sheet name="Sheet1" sheetId="1" r:id="rId1"/>
    <sheet name="Summary" sheetId="2" r:id="rId2"/>
  </sheets>
  <definedNames>
    <definedName name="_xlnm._FilterDatabase" localSheetId="0" hidden="1">Sheet1!$A$1:$S$507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07" i="1" l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S221" i="1"/>
  <c r="P62" i="1"/>
  <c r="P3" i="1"/>
  <c r="P4" i="1"/>
  <c r="P5" i="1"/>
  <c r="P7" i="1"/>
  <c r="P8" i="1"/>
  <c r="P9" i="1"/>
  <c r="P11" i="1"/>
  <c r="P12" i="1"/>
  <c r="P13" i="1"/>
  <c r="P14" i="1"/>
  <c r="P15" i="1"/>
  <c r="P16" i="1"/>
  <c r="P17" i="1"/>
  <c r="P18" i="1"/>
  <c r="P19" i="1"/>
  <c r="P21" i="1"/>
  <c r="P22" i="1"/>
  <c r="P23" i="1"/>
  <c r="P24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1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4" i="1"/>
  <c r="P195" i="1"/>
  <c r="P196" i="1"/>
  <c r="P197" i="1"/>
  <c r="P198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9" i="1"/>
  <c r="P270" i="1"/>
  <c r="P271" i="1"/>
  <c r="P272" i="1"/>
  <c r="P273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400" i="1"/>
  <c r="P401" i="1"/>
  <c r="P402" i="1"/>
  <c r="P404" i="1"/>
  <c r="P405" i="1"/>
  <c r="P406" i="1"/>
  <c r="P407" i="1"/>
  <c r="P408" i="1"/>
  <c r="P409" i="1"/>
  <c r="P410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2" i="1"/>
  <c r="P493" i="1"/>
  <c r="P494" i="1"/>
  <c r="P495" i="1"/>
  <c r="P496" i="1"/>
  <c r="P497" i="1"/>
  <c r="P498" i="1"/>
  <c r="P499" i="1"/>
  <c r="P500" i="1"/>
  <c r="P502" i="1"/>
  <c r="P503" i="1"/>
  <c r="P504" i="1"/>
  <c r="P505" i="1"/>
  <c r="P506" i="1"/>
  <c r="P507" i="1"/>
  <c r="P2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26" i="2"/>
  <c r="B26" i="2"/>
  <c r="C24" i="2"/>
  <c r="C23" i="2"/>
  <c r="C22" i="2"/>
  <c r="C21" i="2"/>
  <c r="C20" i="2"/>
  <c r="C19" i="2"/>
  <c r="C18" i="2"/>
  <c r="C17" i="2"/>
  <c r="C26" i="2"/>
  <c r="C14" i="2"/>
  <c r="C13" i="2"/>
  <c r="C12" i="2"/>
  <c r="B25" i="2"/>
  <c r="B15" i="2"/>
  <c r="B10" i="2"/>
</calcChain>
</file>

<file path=xl/sharedStrings.xml><?xml version="1.0" encoding="utf-8"?>
<sst xmlns="http://schemas.openxmlformats.org/spreadsheetml/2006/main" count="5647" uniqueCount="1001">
  <si>
    <t>Last Name</t>
  </si>
  <si>
    <t>First Name</t>
  </si>
  <si>
    <t>Status</t>
  </si>
  <si>
    <t>Gender</t>
  </si>
  <si>
    <t>Race/Ethnicity</t>
  </si>
  <si>
    <t>Program End Date</t>
  </si>
  <si>
    <t>Post Graduate Year</t>
  </si>
  <si>
    <t>Narasimmal</t>
  </si>
  <si>
    <t>Sai Prasanna</t>
  </si>
  <si>
    <t>FEL-PRG 1</t>
  </si>
  <si>
    <t>Female</t>
  </si>
  <si>
    <t>Asian</t>
  </si>
  <si>
    <t>Dekitani</t>
  </si>
  <si>
    <t>Ken</t>
  </si>
  <si>
    <t>FEL-PRG 2</t>
  </si>
  <si>
    <t>Male</t>
  </si>
  <si>
    <t>Chung</t>
  </si>
  <si>
    <t>Un Yong</t>
  </si>
  <si>
    <t>PRG-1</t>
  </si>
  <si>
    <t>Allison</t>
  </si>
  <si>
    <t>Zev</t>
  </si>
  <si>
    <t>White</t>
  </si>
  <si>
    <t>Shen</t>
  </si>
  <si>
    <t>Sandra</t>
  </si>
  <si>
    <t>Research Year</t>
  </si>
  <si>
    <t>Hefner</t>
  </si>
  <si>
    <t>Nicole</t>
  </si>
  <si>
    <t>Stibelman</t>
  </si>
  <si>
    <t>Jacob</t>
  </si>
  <si>
    <t>PRG-2</t>
  </si>
  <si>
    <t>Pletcher</t>
  </si>
  <si>
    <t>Eric</t>
  </si>
  <si>
    <t>Barratt</t>
  </si>
  <si>
    <t>Harriet</t>
  </si>
  <si>
    <t>Bains</t>
  </si>
  <si>
    <t>Mandeep</t>
  </si>
  <si>
    <t>Dumitra</t>
  </si>
  <si>
    <t>Teodora</t>
  </si>
  <si>
    <t>Ferrel</t>
  </si>
  <si>
    <t>Benjamin</t>
  </si>
  <si>
    <t/>
  </si>
  <si>
    <t>Hammond</t>
  </si>
  <si>
    <t>James</t>
  </si>
  <si>
    <t>Murphy</t>
  </si>
  <si>
    <t>Cameron</t>
  </si>
  <si>
    <t>Shafi</t>
  </si>
  <si>
    <t>Karim</t>
  </si>
  <si>
    <t>Other, White</t>
  </si>
  <si>
    <t>Cao</t>
  </si>
  <si>
    <t>Amanda</t>
  </si>
  <si>
    <t>McCloskey</t>
  </si>
  <si>
    <t>Audrey</t>
  </si>
  <si>
    <t>Azimpouran</t>
  </si>
  <si>
    <t>Mahzad</t>
  </si>
  <si>
    <t>Sobhani</t>
  </si>
  <si>
    <t>Kaivon</t>
  </si>
  <si>
    <t>Sandhu</t>
  </si>
  <si>
    <t>Sandeep</t>
  </si>
  <si>
    <t>Simon</t>
  </si>
  <si>
    <t>Violette</t>
  </si>
  <si>
    <t>Jain</t>
  </si>
  <si>
    <t>Rashmi</t>
  </si>
  <si>
    <t>Meiri</t>
  </si>
  <si>
    <t>Hila</t>
  </si>
  <si>
    <t>Chen</t>
  </si>
  <si>
    <t>Pin-Jung</t>
  </si>
  <si>
    <t>Vuong</t>
  </si>
  <si>
    <t>Jacqueline</t>
  </si>
  <si>
    <t>Shangguan</t>
  </si>
  <si>
    <t>Siyi</t>
  </si>
  <si>
    <t>Kim</t>
  </si>
  <si>
    <t>Chae</t>
  </si>
  <si>
    <t>Foster</t>
  </si>
  <si>
    <t>Lukas</t>
  </si>
  <si>
    <t>PRG-4</t>
  </si>
  <si>
    <t>Hispanic or Latino, White</t>
  </si>
  <si>
    <t>Castaneda</t>
  </si>
  <si>
    <t>Peris</t>
  </si>
  <si>
    <t>Simsolo</t>
  </si>
  <si>
    <t>Eli</t>
  </si>
  <si>
    <t>Other</t>
  </si>
  <si>
    <t>Avila</t>
  </si>
  <si>
    <t>Stephen</t>
  </si>
  <si>
    <t>Hispanic or Latino</t>
  </si>
  <si>
    <t>Finkel</t>
  </si>
  <si>
    <t>Ryan</t>
  </si>
  <si>
    <t>Cochran</t>
  </si>
  <si>
    <t>John</t>
  </si>
  <si>
    <t>Parikh</t>
  </si>
  <si>
    <t>Harin</t>
  </si>
  <si>
    <t>Storino Gonzalez</t>
  </si>
  <si>
    <t>Alessandra</t>
  </si>
  <si>
    <t>Reyes Perez</t>
  </si>
  <si>
    <t>Jose</t>
  </si>
  <si>
    <t>Wright-Chisem</t>
  </si>
  <si>
    <t>Adam</t>
  </si>
  <si>
    <t>Black or African American</t>
  </si>
  <si>
    <t>Own</t>
  </si>
  <si>
    <t>Ali</t>
  </si>
  <si>
    <t>Hong</t>
  </si>
  <si>
    <t>Zachery</t>
  </si>
  <si>
    <t>Wong</t>
  </si>
  <si>
    <t>Harry</t>
  </si>
  <si>
    <t>Gregory</t>
  </si>
  <si>
    <t>David</t>
  </si>
  <si>
    <t>Fox</t>
  </si>
  <si>
    <t>Kevin</t>
  </si>
  <si>
    <t>Truong</t>
  </si>
  <si>
    <t>Brandon</t>
  </si>
  <si>
    <t>Bonilla</t>
  </si>
  <si>
    <t>Kelsey</t>
  </si>
  <si>
    <t>Peterson</t>
  </si>
  <si>
    <t>Emily</t>
  </si>
  <si>
    <t>Solorio</t>
  </si>
  <si>
    <t>Veronica</t>
  </si>
  <si>
    <t>Prieto Jimenez</t>
  </si>
  <si>
    <t>Paula</t>
  </si>
  <si>
    <t>Niculescu</t>
  </si>
  <si>
    <t>Alexander</t>
  </si>
  <si>
    <t>Khoury</t>
  </si>
  <si>
    <t>Antoine</t>
  </si>
  <si>
    <t>Ebia</t>
  </si>
  <si>
    <t>Matthew</t>
  </si>
  <si>
    <t>Asian, Native Hawaiian or Other Pacific Islander</t>
  </si>
  <si>
    <t>Cantor</t>
  </si>
  <si>
    <t>Andrew</t>
  </si>
  <si>
    <t>Piscoya</t>
  </si>
  <si>
    <t>Andres</t>
  </si>
  <si>
    <t>Markel</t>
  </si>
  <si>
    <t>Justin</t>
  </si>
  <si>
    <t>Garcia</t>
  </si>
  <si>
    <t>Souza</t>
  </si>
  <si>
    <t>Kimberly</t>
  </si>
  <si>
    <t>Kosturakis</t>
  </si>
  <si>
    <t>Alyssa</t>
  </si>
  <si>
    <t>Sidhu</t>
  </si>
  <si>
    <t>Manjaap</t>
  </si>
  <si>
    <t>Sam</t>
  </si>
  <si>
    <t>Tom</t>
  </si>
  <si>
    <t>Asian, Hispanic or Latino</t>
  </si>
  <si>
    <t>Williams</t>
  </si>
  <si>
    <t>Brooke</t>
  </si>
  <si>
    <t>Nourian</t>
  </si>
  <si>
    <t>Maziar</t>
  </si>
  <si>
    <t>Angara</t>
  </si>
  <si>
    <t>Prashant</t>
  </si>
  <si>
    <t>Shafquat</t>
  </si>
  <si>
    <t>Joshua</t>
  </si>
  <si>
    <t>Fabricant</t>
  </si>
  <si>
    <t>Sonya</t>
  </si>
  <si>
    <t>Ha</t>
  </si>
  <si>
    <t>Laura</t>
  </si>
  <si>
    <t>FEL-PRG 3</t>
  </si>
  <si>
    <t>Schneyer</t>
  </si>
  <si>
    <t>Rebecca</t>
  </si>
  <si>
    <t>Levytska</t>
  </si>
  <si>
    <t>Khrystyna</t>
  </si>
  <si>
    <t>Lam</t>
  </si>
  <si>
    <t>Calvin</t>
  </si>
  <si>
    <t>Foy</t>
  </si>
  <si>
    <t>Olivia</t>
  </si>
  <si>
    <t>Pipes</t>
  </si>
  <si>
    <t>Grace</t>
  </si>
  <si>
    <t>Asian, White</t>
  </si>
  <si>
    <t>Le</t>
  </si>
  <si>
    <t>Tammy</t>
  </si>
  <si>
    <t>Torosyan</t>
  </si>
  <si>
    <t>Nare</t>
  </si>
  <si>
    <t>Chief Resident</t>
  </si>
  <si>
    <t>Macfarlane</t>
  </si>
  <si>
    <t>Shah</t>
  </si>
  <si>
    <t>Shivani</t>
  </si>
  <si>
    <t>Turner</t>
  </si>
  <si>
    <t>Maurice</t>
  </si>
  <si>
    <t>Wright</t>
  </si>
  <si>
    <t>Jayson</t>
  </si>
  <si>
    <t>Takahashi</t>
  </si>
  <si>
    <t>Tatsunori</t>
  </si>
  <si>
    <t>Patel</t>
  </si>
  <si>
    <t>Yatindra</t>
  </si>
  <si>
    <t>Shawna</t>
  </si>
  <si>
    <t>Geng</t>
  </si>
  <si>
    <t>Meng</t>
  </si>
  <si>
    <t>PRG-3</t>
  </si>
  <si>
    <t>Gupta</t>
  </si>
  <si>
    <t>Kavish</t>
  </si>
  <si>
    <t>Alalami</t>
  </si>
  <si>
    <t>Huda</t>
  </si>
  <si>
    <t>Maghzi</t>
  </si>
  <si>
    <t>Helia</t>
  </si>
  <si>
    <t>Mangiacotti</t>
  </si>
  <si>
    <t>Luigi</t>
  </si>
  <si>
    <t>Zhang</t>
  </si>
  <si>
    <t>Samuel</t>
  </si>
  <si>
    <t>Ramezani</t>
  </si>
  <si>
    <t>Ario</t>
  </si>
  <si>
    <t>Safavi</t>
  </si>
  <si>
    <t>Arash</t>
  </si>
  <si>
    <t>Arner</t>
  </si>
  <si>
    <t>Willson</t>
  </si>
  <si>
    <t>Bryn</t>
  </si>
  <si>
    <t>Bhatti</t>
  </si>
  <si>
    <t>Umar</t>
  </si>
  <si>
    <t>Rushakoff</t>
  </si>
  <si>
    <t>Tamukong</t>
  </si>
  <si>
    <t>Patrick</t>
  </si>
  <si>
    <t>Dadashian</t>
  </si>
  <si>
    <t>Eman</t>
  </si>
  <si>
    <t>Govalan</t>
  </si>
  <si>
    <t>Rajalakshmi</t>
  </si>
  <si>
    <t>Fazel</t>
  </si>
  <si>
    <t>Mariam</t>
  </si>
  <si>
    <t>Schuett</t>
  </si>
  <si>
    <t>Hannah</t>
  </si>
  <si>
    <t>Razavi</t>
  </si>
  <si>
    <t>Armin</t>
  </si>
  <si>
    <t>Daneshbod</t>
  </si>
  <si>
    <t>Yahya</t>
  </si>
  <si>
    <t>Surti</t>
  </si>
  <si>
    <t>Lee</t>
  </si>
  <si>
    <t>Jonathan</t>
  </si>
  <si>
    <t>Tizro</t>
  </si>
  <si>
    <t>Parastou</t>
  </si>
  <si>
    <t>Roach</t>
  </si>
  <si>
    <t>Amy</t>
  </si>
  <si>
    <t>PRG-5</t>
  </si>
  <si>
    <t>Adams</t>
  </si>
  <si>
    <t>Evan</t>
  </si>
  <si>
    <t>Mohan</t>
  </si>
  <si>
    <t>Srivarshini</t>
  </si>
  <si>
    <t>Qiudong</t>
  </si>
  <si>
    <t>Diperi</t>
  </si>
  <si>
    <t>Timothy</t>
  </si>
  <si>
    <t>Gonsalves</t>
  </si>
  <si>
    <t>Nicholas</t>
  </si>
  <si>
    <t>Park</t>
  </si>
  <si>
    <t>Greigory</t>
  </si>
  <si>
    <t>William</t>
  </si>
  <si>
    <t>Kuo</t>
  </si>
  <si>
    <t>Susan</t>
  </si>
  <si>
    <t>Fierro</t>
  </si>
  <si>
    <t>Bonde</t>
  </si>
  <si>
    <t>Saniya</t>
  </si>
  <si>
    <t>Tran</t>
  </si>
  <si>
    <t>Erica</t>
  </si>
  <si>
    <t>Lu</t>
  </si>
  <si>
    <t>Eileen</t>
  </si>
  <si>
    <t>Adjei</t>
  </si>
  <si>
    <t>Michie</t>
  </si>
  <si>
    <t>Chun Fat</t>
  </si>
  <si>
    <t>Shelby</t>
  </si>
  <si>
    <t>Asian, Native Hawaiian or Other Pacific Islander, White</t>
  </si>
  <si>
    <t>Courtney</t>
  </si>
  <si>
    <t>Menaker</t>
  </si>
  <si>
    <t>Caravan</t>
  </si>
  <si>
    <t>Bassir</t>
  </si>
  <si>
    <t>Niino</t>
  </si>
  <si>
    <t>Clarissa</t>
  </si>
  <si>
    <t>Gonzales</t>
  </si>
  <si>
    <t>Savannah</t>
  </si>
  <si>
    <t>Thompson</t>
  </si>
  <si>
    <t>Keona</t>
  </si>
  <si>
    <t>Florin</t>
  </si>
  <si>
    <t>Caron</t>
  </si>
  <si>
    <t>Jayne</t>
  </si>
  <si>
    <t>Hirsch</t>
  </si>
  <si>
    <t>Anna</t>
  </si>
  <si>
    <t>Mayer</t>
  </si>
  <si>
    <t>Christopher</t>
  </si>
  <si>
    <t>Itamura</t>
  </si>
  <si>
    <t>Kyohei</t>
  </si>
  <si>
    <t>Hsue</t>
  </si>
  <si>
    <t>Victor</t>
  </si>
  <si>
    <t>Ng</t>
  </si>
  <si>
    <t>Gonzalez Mancera</t>
  </si>
  <si>
    <t>Miguel</t>
  </si>
  <si>
    <t>Aaron</t>
  </si>
  <si>
    <t>Kozak</t>
  </si>
  <si>
    <t>Michael</t>
  </si>
  <si>
    <t>Backer</t>
  </si>
  <si>
    <t>Li</t>
  </si>
  <si>
    <t>Xiaomo</t>
  </si>
  <si>
    <t>Matthews</t>
  </si>
  <si>
    <t>Robert</t>
  </si>
  <si>
    <t>Justo</t>
  </si>
  <si>
    <t>Monica Anne</t>
  </si>
  <si>
    <t>Tam</t>
  </si>
  <si>
    <t>Derrick</t>
  </si>
  <si>
    <t>Stephanie</t>
  </si>
  <si>
    <t>Tsaoi</t>
  </si>
  <si>
    <t>Derick</t>
  </si>
  <si>
    <t>Inikori</t>
  </si>
  <si>
    <t>Eno</t>
  </si>
  <si>
    <t>Koppel</t>
  </si>
  <si>
    <t>Scott</t>
  </si>
  <si>
    <t>Krishna</t>
  </si>
  <si>
    <t>Vikram</t>
  </si>
  <si>
    <t>Lim</t>
  </si>
  <si>
    <t>Tiffany</t>
  </si>
  <si>
    <t>Ayouty</t>
  </si>
  <si>
    <t>Mohyee</t>
  </si>
  <si>
    <t>Perez</t>
  </si>
  <si>
    <t>Claire</t>
  </si>
  <si>
    <t>Daniel</t>
  </si>
  <si>
    <t>Kelsall</t>
  </si>
  <si>
    <t>Seok</t>
  </si>
  <si>
    <t>Minji</t>
  </si>
  <si>
    <t>Nammalwar</t>
  </si>
  <si>
    <t>Shruthi</t>
  </si>
  <si>
    <t>Kniola</t>
  </si>
  <si>
    <t>Wyleen</t>
  </si>
  <si>
    <t>Mukhtar</t>
  </si>
  <si>
    <t>Farhana</t>
  </si>
  <si>
    <t>Cutri</t>
  </si>
  <si>
    <t>Raffaello</t>
  </si>
  <si>
    <t>Chang</t>
  </si>
  <si>
    <t>PRG-6</t>
  </si>
  <si>
    <t>Heer</t>
  </si>
  <si>
    <t>Abbey</t>
  </si>
  <si>
    <t>Yasmine</t>
  </si>
  <si>
    <t>Chan</t>
  </si>
  <si>
    <t>Rubakovic</t>
  </si>
  <si>
    <t>Anastasia</t>
  </si>
  <si>
    <t>Nisson</t>
  </si>
  <si>
    <t>Peyton</t>
  </si>
  <si>
    <t>Nesseler</t>
  </si>
  <si>
    <t>Jean Philippe</t>
  </si>
  <si>
    <t>Tay</t>
  </si>
  <si>
    <t>Angelique Sao Mai</t>
  </si>
  <si>
    <t>PRG-7</t>
  </si>
  <si>
    <t>Miller</t>
  </si>
  <si>
    <t>Catherine</t>
  </si>
  <si>
    <t>Cuk</t>
  </si>
  <si>
    <t>Natasha</t>
  </si>
  <si>
    <t>Lana</t>
  </si>
  <si>
    <t>Magdalena</t>
  </si>
  <si>
    <t>Konate</t>
  </si>
  <si>
    <t>Ndeye</t>
  </si>
  <si>
    <t>Moran</t>
  </si>
  <si>
    <t>Katherine</t>
  </si>
  <si>
    <t>O'Connor</t>
  </si>
  <si>
    <t>Reed</t>
  </si>
  <si>
    <t>Lyon</t>
  </si>
  <si>
    <t>Anne</t>
  </si>
  <si>
    <t>Caskey</t>
  </si>
  <si>
    <t>Rachel</t>
  </si>
  <si>
    <t>Do</t>
  </si>
  <si>
    <t>Anthony</t>
  </si>
  <si>
    <t>Simmons</t>
  </si>
  <si>
    <t>Jordan</t>
  </si>
  <si>
    <t>Bastien</t>
  </si>
  <si>
    <t>Moshea</t>
  </si>
  <si>
    <t>Lauren</t>
  </si>
  <si>
    <t>Leong</t>
  </si>
  <si>
    <t>Lownik</t>
  </si>
  <si>
    <t>Joseph</t>
  </si>
  <si>
    <t>Mortazavi</t>
  </si>
  <si>
    <t>Samira</t>
  </si>
  <si>
    <t>Oren</t>
  </si>
  <si>
    <t>Aviv</t>
  </si>
  <si>
    <t>Vivian</t>
  </si>
  <si>
    <t>Oh</t>
  </si>
  <si>
    <t>Connie</t>
  </si>
  <si>
    <t>Kaur</t>
  </si>
  <si>
    <t>Bhupinder</t>
  </si>
  <si>
    <t>Rotondo-Trivette</t>
  </si>
  <si>
    <t>Sarah</t>
  </si>
  <si>
    <t>Louie</t>
  </si>
  <si>
    <t>Puga</t>
  </si>
  <si>
    <t>Cindy</t>
  </si>
  <si>
    <t>Raffi</t>
  </si>
  <si>
    <t>Liza</t>
  </si>
  <si>
    <t>Densen</t>
  </si>
  <si>
    <t>Silva Lynch</t>
  </si>
  <si>
    <t>Carlos</t>
  </si>
  <si>
    <t>Abiragi</t>
  </si>
  <si>
    <t>Liang</t>
  </si>
  <si>
    <t>Jeff</t>
  </si>
  <si>
    <t>Crochetiere</t>
  </si>
  <si>
    <t>Austin</t>
  </si>
  <si>
    <t>Phak</t>
  </si>
  <si>
    <t>Dhillon</t>
  </si>
  <si>
    <t>Manvir</t>
  </si>
  <si>
    <t>Kermanian</t>
  </si>
  <si>
    <t>Riley</t>
  </si>
  <si>
    <t>Sharabi</t>
  </si>
  <si>
    <t>Eden</t>
  </si>
  <si>
    <t>Yee</t>
  </si>
  <si>
    <t>Kei-Lwun</t>
  </si>
  <si>
    <t>Ji Young</t>
  </si>
  <si>
    <t>Roohani</t>
  </si>
  <si>
    <t>Darius</t>
  </si>
  <si>
    <t>Stewart</t>
  </si>
  <si>
    <t>Connor</t>
  </si>
  <si>
    <t>Solanki</t>
  </si>
  <si>
    <t>Aum</t>
  </si>
  <si>
    <t>Kwok</t>
  </si>
  <si>
    <t>Kunal</t>
  </si>
  <si>
    <t>Asian, Other</t>
  </si>
  <si>
    <t>Gholam</t>
  </si>
  <si>
    <t>Sahar</t>
  </si>
  <si>
    <t>Srouji</t>
  </si>
  <si>
    <t>Rami</t>
  </si>
  <si>
    <t>Hackbart</t>
  </si>
  <si>
    <t>Risbud</t>
  </si>
  <si>
    <t>Adwight</t>
  </si>
  <si>
    <t>Pak</t>
  </si>
  <si>
    <t>Kaitlynne</t>
  </si>
  <si>
    <t>Barker</t>
  </si>
  <si>
    <t>Margot</t>
  </si>
  <si>
    <t>Fan</t>
  </si>
  <si>
    <t>Shannon</t>
  </si>
  <si>
    <t>Onwumere</t>
  </si>
  <si>
    <t>Ojiugo</t>
  </si>
  <si>
    <t>Hosek</t>
  </si>
  <si>
    <t>Thrift</t>
  </si>
  <si>
    <t>Camelita</t>
  </si>
  <si>
    <t>McGlaun</t>
  </si>
  <si>
    <t>Maxey</t>
  </si>
  <si>
    <t>Christina</t>
  </si>
  <si>
    <t>Boyke</t>
  </si>
  <si>
    <t>Andre</t>
  </si>
  <si>
    <t>Melanie</t>
  </si>
  <si>
    <t>Gant</t>
  </si>
  <si>
    <t>Tayler</t>
  </si>
  <si>
    <t>Myers</t>
  </si>
  <si>
    <t>Sheldon</t>
  </si>
  <si>
    <t>Toussieng</t>
  </si>
  <si>
    <t>Trevor</t>
  </si>
  <si>
    <t>Mohammad-Zadeh</t>
  </si>
  <si>
    <t>Ana</t>
  </si>
  <si>
    <t>Seyed Forootan</t>
  </si>
  <si>
    <t>Nazilla Sadat</t>
  </si>
  <si>
    <t>Coras</t>
  </si>
  <si>
    <t>Roxana</t>
  </si>
  <si>
    <t>Jobin</t>
  </si>
  <si>
    <t>Parker</t>
  </si>
  <si>
    <t>American Indian or Alaskan Native</t>
  </si>
  <si>
    <t>Torbati</t>
  </si>
  <si>
    <t>Tina</t>
  </si>
  <si>
    <t>Taguchi</t>
  </si>
  <si>
    <t>Yumiko</t>
  </si>
  <si>
    <t>Mecklenburg</t>
  </si>
  <si>
    <t>Kori</t>
  </si>
  <si>
    <t>Mordas</t>
  </si>
  <si>
    <t>Corey</t>
  </si>
  <si>
    <t>Sanchez</t>
  </si>
  <si>
    <t>John Michael</t>
  </si>
  <si>
    <t>Ahmed</t>
  </si>
  <si>
    <t>Murtaza</t>
  </si>
  <si>
    <t>Gonzalez</t>
  </si>
  <si>
    <t>Mark</t>
  </si>
  <si>
    <t>Cynthia</t>
  </si>
  <si>
    <t>Vo</t>
  </si>
  <si>
    <t>Wangmang</t>
  </si>
  <si>
    <t>Felix</t>
  </si>
  <si>
    <t>Mamzhi</t>
  </si>
  <si>
    <t>Yakov</t>
  </si>
  <si>
    <t>Sweeney</t>
  </si>
  <si>
    <t>Schlussel</t>
  </si>
  <si>
    <t>Mathur</t>
  </si>
  <si>
    <t>Kushagra</t>
  </si>
  <si>
    <t>Brennan</t>
  </si>
  <si>
    <t>Zachary</t>
  </si>
  <si>
    <t>Toro Arana</t>
  </si>
  <si>
    <t>Kothari</t>
  </si>
  <si>
    <t>Dhruv</t>
  </si>
  <si>
    <t>Cyr</t>
  </si>
  <si>
    <t>McWatters</t>
  </si>
  <si>
    <t>Zoe</t>
  </si>
  <si>
    <t>Lisa</t>
  </si>
  <si>
    <t>Han</t>
  </si>
  <si>
    <t>Gloria</t>
  </si>
  <si>
    <t>Hoosepian-Mer</t>
  </si>
  <si>
    <t>Pauline</t>
  </si>
  <si>
    <t>Meyer</t>
  </si>
  <si>
    <t>Blake</t>
  </si>
  <si>
    <t>Simran</t>
  </si>
  <si>
    <t>Diana</t>
  </si>
  <si>
    <t>Win</t>
  </si>
  <si>
    <t>Suyee</t>
  </si>
  <si>
    <t>Shahrestani</t>
  </si>
  <si>
    <t>Shane</t>
  </si>
  <si>
    <t>Vargas</t>
  </si>
  <si>
    <t>Enrique</t>
  </si>
  <si>
    <t>Alina</t>
  </si>
  <si>
    <t>Xu</t>
  </si>
  <si>
    <t>Lucy</t>
  </si>
  <si>
    <t>Goulet</t>
  </si>
  <si>
    <t>Giang</t>
  </si>
  <si>
    <t>Brian</t>
  </si>
  <si>
    <t>Delijani</t>
  </si>
  <si>
    <t>Xenophontos</t>
  </si>
  <si>
    <t>Marie Anastasia</t>
  </si>
  <si>
    <t>Pillai</t>
  </si>
  <si>
    <t>Aishwarya</t>
  </si>
  <si>
    <t>Adlaka</t>
  </si>
  <si>
    <t>Katie</t>
  </si>
  <si>
    <t>Girgiss</t>
  </si>
  <si>
    <t>Carol</t>
  </si>
  <si>
    <t>Burns</t>
  </si>
  <si>
    <t>Mansour</t>
  </si>
  <si>
    <t>Alec</t>
  </si>
  <si>
    <t>Majid</t>
  </si>
  <si>
    <t>Maaz</t>
  </si>
  <si>
    <t>Gill</t>
  </si>
  <si>
    <t>George</t>
  </si>
  <si>
    <t>Meltzer</t>
  </si>
  <si>
    <t>Jourdan</t>
  </si>
  <si>
    <t>Masini</t>
  </si>
  <si>
    <t>Irene</t>
  </si>
  <si>
    <t>Tan</t>
  </si>
  <si>
    <t>Rebuffatti</t>
  </si>
  <si>
    <t>Michelle</t>
  </si>
  <si>
    <t>Bennett</t>
  </si>
  <si>
    <t>Mackenzie</t>
  </si>
  <si>
    <t>Jin</t>
  </si>
  <si>
    <t>Emmy</t>
  </si>
  <si>
    <t>Lewis</t>
  </si>
  <si>
    <t>Catriona</t>
  </si>
  <si>
    <t>Ponzio</t>
  </si>
  <si>
    <t>Madeline</t>
  </si>
  <si>
    <t>Uppendahl</t>
  </si>
  <si>
    <t>Daniels</t>
  </si>
  <si>
    <t>Sophie</t>
  </si>
  <si>
    <t>Marvin</t>
  </si>
  <si>
    <t>Maneval</t>
  </si>
  <si>
    <t>Wong-Michalak</t>
  </si>
  <si>
    <t>Sienna</t>
  </si>
  <si>
    <t>Shiang</t>
  </si>
  <si>
    <t>Lin</t>
  </si>
  <si>
    <t>Jasmine</t>
  </si>
  <si>
    <t>Elhaddad</t>
  </si>
  <si>
    <t>Moamen</t>
  </si>
  <si>
    <t>Carrillo-Kashani</t>
  </si>
  <si>
    <t>Hispanic or Latino, Other</t>
  </si>
  <si>
    <t>Mo</t>
  </si>
  <si>
    <t>Gina</t>
  </si>
  <si>
    <t>Tacon</t>
  </si>
  <si>
    <t>Phillip</t>
  </si>
  <si>
    <t>Visrodia</t>
  </si>
  <si>
    <t>Parth</t>
  </si>
  <si>
    <t>Dilip</t>
  </si>
  <si>
    <t>Mridula</t>
  </si>
  <si>
    <t>Cordero</t>
  </si>
  <si>
    <t>James Ryan Promentilla</t>
  </si>
  <si>
    <t>Donghee</t>
  </si>
  <si>
    <t>Goldman</t>
  </si>
  <si>
    <t>Mia</t>
  </si>
  <si>
    <t>Ibrahim</t>
  </si>
  <si>
    <t>Pazos</t>
  </si>
  <si>
    <t>Alexa</t>
  </si>
  <si>
    <t>Hameed</t>
  </si>
  <si>
    <t>Fariha</t>
  </si>
  <si>
    <t>Kirsch</t>
  </si>
  <si>
    <t>Polly</t>
  </si>
  <si>
    <t>Santi</t>
  </si>
  <si>
    <t>Brock</t>
  </si>
  <si>
    <t>Naik</t>
  </si>
  <si>
    <t>Ilora</t>
  </si>
  <si>
    <t>Mitchell</t>
  </si>
  <si>
    <t>Velarde</t>
  </si>
  <si>
    <t>Nathan</t>
  </si>
  <si>
    <t>Shia</t>
  </si>
  <si>
    <t>Belzer</t>
  </si>
  <si>
    <t>Annika</t>
  </si>
  <si>
    <t>Garcia Medrano</t>
  </si>
  <si>
    <t>Jerry</t>
  </si>
  <si>
    <t>Busam</t>
  </si>
  <si>
    <t>Ramayya</t>
  </si>
  <si>
    <t>Shreya</t>
  </si>
  <si>
    <t>Wessel</t>
  </si>
  <si>
    <t>Alex</t>
  </si>
  <si>
    <t>Gowda</t>
  </si>
  <si>
    <t>Sanjita</t>
  </si>
  <si>
    <t>Nagappan</t>
  </si>
  <si>
    <t>Meena</t>
  </si>
  <si>
    <t>Yadegari</t>
  </si>
  <si>
    <t>Luo</t>
  </si>
  <si>
    <t>Vincent</t>
  </si>
  <si>
    <t>Chinh</t>
  </si>
  <si>
    <t>Bonge</t>
  </si>
  <si>
    <t>Chernobylsky</t>
  </si>
  <si>
    <t>Steven</t>
  </si>
  <si>
    <t>Hamilton</t>
  </si>
  <si>
    <t>Bryan</t>
  </si>
  <si>
    <t>Soudan</t>
  </si>
  <si>
    <t>Colton</t>
  </si>
  <si>
    <t>Ellison</t>
  </si>
  <si>
    <t>Darji</t>
  </si>
  <si>
    <t>Prem</t>
  </si>
  <si>
    <t>Shin</t>
  </si>
  <si>
    <t>Janet</t>
  </si>
  <si>
    <t>Modi</t>
  </si>
  <si>
    <t>Nishant</t>
  </si>
  <si>
    <t>Gelzayd</t>
  </si>
  <si>
    <t>Lujano</t>
  </si>
  <si>
    <t>Dallmer</t>
  </si>
  <si>
    <t>Jeremiah</t>
  </si>
  <si>
    <t>Khan</t>
  </si>
  <si>
    <t>Adnan</t>
  </si>
  <si>
    <t>Teodorescu</t>
  </si>
  <si>
    <t>Debbie</t>
  </si>
  <si>
    <t>Gao</t>
  </si>
  <si>
    <t>Hans</t>
  </si>
  <si>
    <t>Desai</t>
  </si>
  <si>
    <t>Pooja</t>
  </si>
  <si>
    <t>Neil</t>
  </si>
  <si>
    <t>Maulin</t>
  </si>
  <si>
    <t>Sertic</t>
  </si>
  <si>
    <t>Federico</t>
  </si>
  <si>
    <t>Rahal</t>
  </si>
  <si>
    <t>Harman</t>
  </si>
  <si>
    <t>Jiang</t>
  </si>
  <si>
    <t>Yi</t>
  </si>
  <si>
    <t>Stevens</t>
  </si>
  <si>
    <t>Kaderi</t>
  </si>
  <si>
    <t>Tamana</t>
  </si>
  <si>
    <t>Chua</t>
  </si>
  <si>
    <t>Weijia</t>
  </si>
  <si>
    <t>Humar</t>
  </si>
  <si>
    <t>Rishab</t>
  </si>
  <si>
    <t>Malas</t>
  </si>
  <si>
    <t>Jad</t>
  </si>
  <si>
    <t>Mizraki</t>
  </si>
  <si>
    <t>Nathaniel</t>
  </si>
  <si>
    <t>Ing-Ling</t>
  </si>
  <si>
    <t>Gallent</t>
  </si>
  <si>
    <t>Brad</t>
  </si>
  <si>
    <t>Gheyath</t>
  </si>
  <si>
    <t>Bashaer</t>
  </si>
  <si>
    <t>Babadjouni</t>
  </si>
  <si>
    <t>Robin</t>
  </si>
  <si>
    <t>Quintero Consuegra</t>
  </si>
  <si>
    <t>Peter</t>
  </si>
  <si>
    <t>Stiehl</t>
  </si>
  <si>
    <t>Bradley</t>
  </si>
  <si>
    <t>Anand</t>
  </si>
  <si>
    <t>Rajsavi</t>
  </si>
  <si>
    <t>Madapura</t>
  </si>
  <si>
    <t>Vishnu</t>
  </si>
  <si>
    <t>Marano</t>
  </si>
  <si>
    <t>Paul</t>
  </si>
  <si>
    <t>Luxi</t>
  </si>
  <si>
    <t>Akhmerov</t>
  </si>
  <si>
    <t>Akbarshakh</t>
  </si>
  <si>
    <t>Aiken</t>
  </si>
  <si>
    <t>Achilles</t>
  </si>
  <si>
    <t>Black or African American, Hispanic or Latino</t>
  </si>
  <si>
    <t>Vanhise</t>
  </si>
  <si>
    <t>Cerda</t>
  </si>
  <si>
    <t>Victoria</t>
  </si>
  <si>
    <t>Yeo</t>
  </si>
  <si>
    <t>Yee Hui</t>
  </si>
  <si>
    <t>Funk</t>
  </si>
  <si>
    <t>Spencer</t>
  </si>
  <si>
    <t>Hwang</t>
  </si>
  <si>
    <t>Josephine</t>
  </si>
  <si>
    <t>Samaan</t>
  </si>
  <si>
    <t>Jamil</t>
  </si>
  <si>
    <t>Nigh</t>
  </si>
  <si>
    <t>Rockov</t>
  </si>
  <si>
    <t>Byrne</t>
  </si>
  <si>
    <t>Fournier</t>
  </si>
  <si>
    <t>Alan</t>
  </si>
  <si>
    <t>Brown</t>
  </si>
  <si>
    <t>Josiah</t>
  </si>
  <si>
    <t>Mao</t>
  </si>
  <si>
    <t>Jessica</t>
  </si>
  <si>
    <t>Hagiwara</t>
  </si>
  <si>
    <t>Sankar</t>
  </si>
  <si>
    <t>Keerthana</t>
  </si>
  <si>
    <t>Livingston</t>
  </si>
  <si>
    <t>Alexandra</t>
  </si>
  <si>
    <t>Frank</t>
  </si>
  <si>
    <t>Aslamy</t>
  </si>
  <si>
    <t>Arianne</t>
  </si>
  <si>
    <t>Galvan</t>
  </si>
  <si>
    <t>Javier</t>
  </si>
  <si>
    <t>Mohamed</t>
  </si>
  <si>
    <t>Levian</t>
  </si>
  <si>
    <t>Candace</t>
  </si>
  <si>
    <t>Huang</t>
  </si>
  <si>
    <t>Dandi</t>
  </si>
  <si>
    <t>Diri</t>
  </si>
  <si>
    <t>Muhanad</t>
  </si>
  <si>
    <t>Cheng</t>
  </si>
  <si>
    <t>Philip</t>
  </si>
  <si>
    <t>Lindner</t>
  </si>
  <si>
    <t>Christian</t>
  </si>
  <si>
    <t>Hager</t>
  </si>
  <si>
    <t>Jason</t>
  </si>
  <si>
    <t>Toofan</t>
  </si>
  <si>
    <t>Yalda</t>
  </si>
  <si>
    <t>De Jong</t>
  </si>
  <si>
    <t>Manuk-Hakobyan</t>
  </si>
  <si>
    <t>Hayk</t>
  </si>
  <si>
    <t>Maxwell</t>
  </si>
  <si>
    <t>Shahin</t>
  </si>
  <si>
    <t>Ding</t>
  </si>
  <si>
    <t>Jennifer</t>
  </si>
  <si>
    <t>Bird</t>
  </si>
  <si>
    <t>Blough</t>
  </si>
  <si>
    <t>Najdawi</t>
  </si>
  <si>
    <t>Jawad</t>
  </si>
  <si>
    <t>Aw</t>
  </si>
  <si>
    <t>Danziger</t>
  </si>
  <si>
    <t>Ron</t>
  </si>
  <si>
    <t>Ruiz</t>
  </si>
  <si>
    <t>Lo</t>
  </si>
  <si>
    <t>Heard</t>
  </si>
  <si>
    <t>Sadri</t>
  </si>
  <si>
    <t>Lili</t>
  </si>
  <si>
    <t>Kacey</t>
  </si>
  <si>
    <t>Tsai</t>
  </si>
  <si>
    <t>Lester</t>
  </si>
  <si>
    <t>Hollander</t>
  </si>
  <si>
    <t>Barbara</t>
  </si>
  <si>
    <t>Tal</t>
  </si>
  <si>
    <t>Noa</t>
  </si>
  <si>
    <t>Richards</t>
  </si>
  <si>
    <t>Donald</t>
  </si>
  <si>
    <t>Trivedi</t>
  </si>
  <si>
    <t>Rishi</t>
  </si>
  <si>
    <t>Jakob</t>
  </si>
  <si>
    <t>Fares</t>
  </si>
  <si>
    <t>Johny</t>
  </si>
  <si>
    <t>Yuen</t>
  </si>
  <si>
    <t>Wilhoite</t>
  </si>
  <si>
    <t>Sabbahi</t>
  </si>
  <si>
    <t>Wesam</t>
  </si>
  <si>
    <t>Azzam</t>
  </si>
  <si>
    <t>Boac</t>
  </si>
  <si>
    <t>Bernadette</t>
  </si>
  <si>
    <t>Native Hawaiian or Other Pacific Islander, White</t>
  </si>
  <si>
    <t>Alambyan</t>
  </si>
  <si>
    <t>Vilakshan</t>
  </si>
  <si>
    <t>Sinson</t>
  </si>
  <si>
    <t>Boldbaatar</t>
  </si>
  <si>
    <t>Batbold</t>
  </si>
  <si>
    <t>Goldstein</t>
  </si>
  <si>
    <t>Belle</t>
  </si>
  <si>
    <t>Dennis</t>
  </si>
  <si>
    <t>An</t>
  </si>
  <si>
    <t>Bi</t>
  </si>
  <si>
    <t>Bahadori</t>
  </si>
  <si>
    <t>Bardia</t>
  </si>
  <si>
    <t>Ren</t>
  </si>
  <si>
    <t>Albert</t>
  </si>
  <si>
    <t>Yaseyyedi</t>
  </si>
  <si>
    <t>Armaan</t>
  </si>
  <si>
    <t>Rose</t>
  </si>
  <si>
    <t>Ralph</t>
  </si>
  <si>
    <t>Weiser</t>
  </si>
  <si>
    <t>Lucas</t>
  </si>
  <si>
    <t>Liti</t>
  </si>
  <si>
    <t>King</t>
  </si>
  <si>
    <t>Ranasinghe</t>
  </si>
  <si>
    <t>Sachini</t>
  </si>
  <si>
    <t>Dong</t>
  </si>
  <si>
    <t>Andy</t>
  </si>
  <si>
    <t>Ocampo</t>
  </si>
  <si>
    <t>Alfonso</t>
  </si>
  <si>
    <t>Sborov</t>
  </si>
  <si>
    <t>Raszka</t>
  </si>
  <si>
    <t>Dansby</t>
  </si>
  <si>
    <t>Jalen</t>
  </si>
  <si>
    <t>Sen</t>
  </si>
  <si>
    <t>Shayak</t>
  </si>
  <si>
    <t>Bahroloomi</t>
  </si>
  <si>
    <t>Donna</t>
  </si>
  <si>
    <t>Venkataraman</t>
  </si>
  <si>
    <t>Prashanth</t>
  </si>
  <si>
    <t>Katti</t>
  </si>
  <si>
    <t>Abhinav</t>
  </si>
  <si>
    <t>Rais</t>
  </si>
  <si>
    <t>Cyrus</t>
  </si>
  <si>
    <t>Shan</t>
  </si>
  <si>
    <t>Rongzi</t>
  </si>
  <si>
    <t>Wei</t>
  </si>
  <si>
    <t>Margaret</t>
  </si>
  <si>
    <t>Romo</t>
  </si>
  <si>
    <t>Karina</t>
  </si>
  <si>
    <t>Koh</t>
  </si>
  <si>
    <t>O'Meara</t>
  </si>
  <si>
    <t>Kyle</t>
  </si>
  <si>
    <t>Pusapati</t>
  </si>
  <si>
    <t>Nithin</t>
  </si>
  <si>
    <t>Su</t>
  </si>
  <si>
    <t>Dollar</t>
  </si>
  <si>
    <t>Krista</t>
  </si>
  <si>
    <t>Ogunnaike</t>
  </si>
  <si>
    <t>Rahila</t>
  </si>
  <si>
    <t>Owhonda</t>
  </si>
  <si>
    <t>Rebisi</t>
  </si>
  <si>
    <t>Sheppard</t>
  </si>
  <si>
    <t>Priyesh</t>
  </si>
  <si>
    <t>Balachandran</t>
  </si>
  <si>
    <t>Isabel</t>
  </si>
  <si>
    <t>CampBell</t>
  </si>
  <si>
    <t>American Indian or Alaskan Native, White</t>
  </si>
  <si>
    <t>Polveroni</t>
  </si>
  <si>
    <t>Thomas</t>
  </si>
  <si>
    <t>Hagens</t>
  </si>
  <si>
    <t>Theodore</t>
  </si>
  <si>
    <t>Liu</t>
  </si>
  <si>
    <t>Louisa</t>
  </si>
  <si>
    <t>Shrestha</t>
  </si>
  <si>
    <t>Ritesh</t>
  </si>
  <si>
    <t>Marie</t>
  </si>
  <si>
    <t>Toor</t>
  </si>
  <si>
    <t>Harjyot</t>
  </si>
  <si>
    <t>Nasser</t>
  </si>
  <si>
    <t>Kumar</t>
  </si>
  <si>
    <t>Arfeen</t>
  </si>
  <si>
    <t>Mohammad</t>
  </si>
  <si>
    <t>Lai</t>
  </si>
  <si>
    <t>Doan</t>
  </si>
  <si>
    <t>Seng</t>
  </si>
  <si>
    <t>Amara</t>
  </si>
  <si>
    <t>Powierza</t>
  </si>
  <si>
    <t>Sakaleshpura Mallikarjunappa</t>
  </si>
  <si>
    <t>Subramanya</t>
  </si>
  <si>
    <t>Showraki</t>
  </si>
  <si>
    <t>Alireza</t>
  </si>
  <si>
    <t>Jeannie</t>
  </si>
  <si>
    <t>Nandakumar</t>
  </si>
  <si>
    <t>Naveetha</t>
  </si>
  <si>
    <t>Fang</t>
  </si>
  <si>
    <t>Taolin</t>
  </si>
  <si>
    <t>Zhou</t>
  </si>
  <si>
    <t>Tianzan</t>
  </si>
  <si>
    <t>Valadie</t>
  </si>
  <si>
    <t>Grahm</t>
  </si>
  <si>
    <t>Bakshi</t>
  </si>
  <si>
    <t>Ankur</t>
  </si>
  <si>
    <t>Bansal</t>
  </si>
  <si>
    <t>Priya</t>
  </si>
  <si>
    <t>Ning</t>
  </si>
  <si>
    <t>Palakurty</t>
  </si>
  <si>
    <t>Sri Harsha</t>
  </si>
  <si>
    <t>Paquin</t>
  </si>
  <si>
    <t>Amelie</t>
  </si>
  <si>
    <t>Hasan</t>
  </si>
  <si>
    <t>Irsa</t>
  </si>
  <si>
    <t>Hussain</t>
  </si>
  <si>
    <t>Yasin</t>
  </si>
  <si>
    <t>Alzyoud</t>
  </si>
  <si>
    <t>Lamees</t>
  </si>
  <si>
    <t>Tang</t>
  </si>
  <si>
    <t>McDougall</t>
  </si>
  <si>
    <t>Sean</t>
  </si>
  <si>
    <t>Kupinski</t>
  </si>
  <si>
    <t>Yao</t>
  </si>
  <si>
    <t>Lucille</t>
  </si>
  <si>
    <t>Breen</t>
  </si>
  <si>
    <t>Leah</t>
  </si>
  <si>
    <t>Melissa</t>
  </si>
  <si>
    <t>Masterson</t>
  </si>
  <si>
    <t>Naser-Tavakolian</t>
  </si>
  <si>
    <t>Aurash</t>
  </si>
  <si>
    <t>Wiegers</t>
  </si>
  <si>
    <t>Jeffrey</t>
  </si>
  <si>
    <t>Zaidi</t>
  </si>
  <si>
    <t>Sameer</t>
  </si>
  <si>
    <t>ACGME Fellow</t>
  </si>
  <si>
    <t>Resident</t>
  </si>
  <si>
    <t>ACGME Fellows</t>
  </si>
  <si>
    <t>Non-ACGME Fellows</t>
  </si>
  <si>
    <t>Residents (ACGME)</t>
  </si>
  <si>
    <t>Residents (Other)</t>
  </si>
  <si>
    <t>TOTAL</t>
  </si>
  <si>
    <t>TOTAL TRAINEES</t>
  </si>
  <si>
    <t>ACGME Residency Programs</t>
  </si>
  <si>
    <t>Other Residency Programs</t>
  </si>
  <si>
    <t>ACGME Fellowship Programs</t>
  </si>
  <si>
    <t>Non-ACGME Fellowship Programs</t>
  </si>
  <si>
    <t>Did not provide</t>
  </si>
  <si>
    <t>American Indian/Alaskan Native</t>
  </si>
  <si>
    <t>Hispanic/Latinx</t>
  </si>
  <si>
    <t>Black/African American</t>
  </si>
  <si>
    <t>Hawaiian or Pacific Islander</t>
  </si>
  <si>
    <t>URM Total</t>
  </si>
  <si>
    <t>Department</t>
  </si>
  <si>
    <t>Division</t>
  </si>
  <si>
    <t>SURG-Vascular Surgery</t>
  </si>
  <si>
    <t>ANES-Anesthesiology</t>
  </si>
  <si>
    <t>MED-Internal Medicine</t>
  </si>
  <si>
    <t>ORTHO-Orthopaedic Surgery</t>
  </si>
  <si>
    <t>SURG-Surgery</t>
  </si>
  <si>
    <t>URO-Urology</t>
  </si>
  <si>
    <t>ANES-Pain Medicine</t>
  </si>
  <si>
    <t>MED-Rheumatology</t>
  </si>
  <si>
    <t>PATH-Advanced Experimental Pathology Research</t>
  </si>
  <si>
    <t>SURG-Otolaryngology Head and Neck Surgery</t>
  </si>
  <si>
    <t>RAD-Radiation Oncology</t>
  </si>
  <si>
    <t>ANES-Critical Care Medicine</t>
  </si>
  <si>
    <t>CARD-Adv Heart Failure and Transplant Cardiology</t>
  </si>
  <si>
    <t>CARD-Cardiovascular Disease</t>
  </si>
  <si>
    <t>CARD-Interventional Cardiology</t>
  </si>
  <si>
    <t>MED-Clinical informatics</t>
  </si>
  <si>
    <t>MED-Endocrinology</t>
  </si>
  <si>
    <t>MED-Gastro-Transplant Hepatology</t>
  </si>
  <si>
    <t>MED-Gastroenterology</t>
  </si>
  <si>
    <t>MED-Hematology And Medical Oncology</t>
  </si>
  <si>
    <t>NEURO-Clinical Neurophysiology</t>
  </si>
  <si>
    <t>NEURO-Neurologic Critical Care</t>
  </si>
  <si>
    <t>PATH-Cytopathology</t>
  </si>
  <si>
    <t>PATH-Dermatopathology</t>
  </si>
  <si>
    <t>CARD-Advanced Heart Disease Research</t>
  </si>
  <si>
    <t>CARD-Complex Interventional Cardiology</t>
  </si>
  <si>
    <t>CARD-Robotic Cardiac Surgery</t>
  </si>
  <si>
    <t>CARD-Women's Heart Disease</t>
  </si>
  <si>
    <t>NEURO-Behavioral Neurology &amp; Neuropsychiatry</t>
  </si>
  <si>
    <t>SURG-Peripheral Nerve &amp; Microsurgery</t>
  </si>
  <si>
    <t>CARDSURG-Thoracic Surgery-Integrated</t>
  </si>
  <si>
    <t>IMG-Diagnostic Radiology</t>
  </si>
  <si>
    <t>NEURO-Neurology</t>
  </si>
  <si>
    <t>NEUROSURG-Neurological Surgery</t>
  </si>
  <si>
    <t>PATH-Pathology</t>
  </si>
  <si>
    <t>ANES-Adult Cardiothoracic Anesthesiology</t>
  </si>
  <si>
    <t>ANES-Obstetric Anesthesiology</t>
  </si>
  <si>
    <t>NEURO-Vascular Neurology</t>
  </si>
  <si>
    <t>PATH-Gastrointestinal &amp; Liver</t>
  </si>
  <si>
    <t>CARDSURG-Surgical Structural Heart Disease</t>
  </si>
  <si>
    <t>CARDSURG-Thoracic Transplantation and Mechanical</t>
  </si>
  <si>
    <t>MED-Advanced Endoscopy</t>
  </si>
  <si>
    <t>NEURO-Headache Medicine</t>
  </si>
  <si>
    <t>NEUROSURG-Endovascular Neurosurgery</t>
  </si>
  <si>
    <t>URO-Gender Affirming Reconstructive Surgery &amp; Sexu</t>
  </si>
  <si>
    <t>SURG-Podiatric Surgery</t>
  </si>
  <si>
    <t>CARDSURG-Thoracic Surgery-Independent</t>
  </si>
  <si>
    <t>MED-Hospice &amp; Palliative Care Medicine</t>
  </si>
  <si>
    <t>SURG-Colorectal Surgery</t>
  </si>
  <si>
    <t>MED-Gastro-IBD</t>
  </si>
  <si>
    <t>SURG-Critical Care</t>
  </si>
  <si>
    <t>ORTHO-Orthopaedic Foot and Ankle</t>
  </si>
  <si>
    <t>SURG-Transplantation</t>
  </si>
  <si>
    <t>ORTHO-Ortho Hand Surgery</t>
  </si>
  <si>
    <t>PATH-GYN Pathology</t>
  </si>
  <si>
    <t>IMG-Cardiovascular Imaging</t>
  </si>
  <si>
    <t>CARD-Clinical Cardiac Electrophysiology</t>
  </si>
  <si>
    <t>MED-GI Motility</t>
  </si>
  <si>
    <t>NEURO-Movement Disorders</t>
  </si>
  <si>
    <t>ORTHO-Spinal Disorders</t>
  </si>
  <si>
    <t>PATH-Molecular Genetic</t>
  </si>
  <si>
    <t>PATH-Transfusion Medicine</t>
  </si>
  <si>
    <t>SURG-Surgical Oncology</t>
  </si>
  <si>
    <t>ORTHO-Orthopaedic Trauma</t>
  </si>
  <si>
    <t>RAD-Medical Physics</t>
  </si>
  <si>
    <t>IMG-Musculoskeletal Radiology</t>
  </si>
  <si>
    <t>IMG-Neuroradiology</t>
  </si>
  <si>
    <t>ORTHO-Ortho Joint Reconstruction</t>
  </si>
  <si>
    <t>SURG-Complex Reconstruction and Microsurgery</t>
  </si>
  <si>
    <t>ANES-Regional Anesthesia/Acute Pain Management</t>
  </si>
  <si>
    <t>SURG-Advanced GI MIS/Bariatric</t>
  </si>
  <si>
    <t>MED-Pulmonary/Critical Care Medicine</t>
  </si>
  <si>
    <t>OB/GYN-Gynecologic Oncology</t>
  </si>
  <si>
    <t>OB/GYN-Maternal &amp; Fetal Medicine</t>
  </si>
  <si>
    <t>OB/GYN-Minimally Invasive Gynecologic Surgery</t>
  </si>
  <si>
    <t>OB/GYN-Obstetrics &amp; Gynecology</t>
  </si>
  <si>
    <t>OB/GYN-Reproductive Endocrinology and Infertility</t>
  </si>
  <si>
    <t>NEURO-Immunology/Multiple Sclerosis</t>
  </si>
  <si>
    <t>2 were used in american indian</t>
  </si>
  <si>
    <t>Other and other/white</t>
  </si>
  <si>
    <t>Princeton</t>
  </si>
  <si>
    <t>URM</t>
  </si>
  <si>
    <t>Year</t>
  </si>
  <si>
    <t>Trainee Type</t>
  </si>
  <si>
    <t>non-ACGME Fellow</t>
  </si>
  <si>
    <t>school_country</t>
  </si>
  <si>
    <t>Person's Most Recent Graduation (school only)</t>
  </si>
  <si>
    <t>United States</t>
  </si>
  <si>
    <t>No response/undeclared</t>
  </si>
  <si>
    <t>URM_specific</t>
  </si>
  <si>
    <t>Latitude</t>
  </si>
  <si>
    <t>Longitude</t>
  </si>
  <si>
    <t>University of Colorado School of Medicine</t>
  </si>
  <si>
    <t>Emory University School of Medicine</t>
  </si>
  <si>
    <t>University of Pittsburgh School of Medicine</t>
  </si>
  <si>
    <t>David Geffen School of Medicine at UCLA</t>
  </si>
  <si>
    <t>Harvard Medical School</t>
  </si>
  <si>
    <t>Columbia University College of Physicians and Surgeons</t>
  </si>
  <si>
    <t>UC San Diego School of Medicine</t>
  </si>
  <si>
    <t>Keck School of Medicine of the University of Southern California</t>
  </si>
  <si>
    <t>Stanford School of Medicine</t>
  </si>
  <si>
    <t>Duke University School of Medicine</t>
  </si>
  <si>
    <t>Department/Division</t>
  </si>
  <si>
    <t>Department of Medicine</t>
  </si>
  <si>
    <t>Department of Surgery</t>
  </si>
  <si>
    <t>Department of Anesthesia</t>
  </si>
  <si>
    <t>Department of Cardiology</t>
  </si>
  <si>
    <t>Department of Cardiac Surgery</t>
  </si>
  <si>
    <t>Department of Neurology</t>
  </si>
  <si>
    <t>Department of Pathology</t>
  </si>
  <si>
    <t>Department of Neurosurgery</t>
  </si>
  <si>
    <t>Department of Obstetrics &amp; Gynecology</t>
  </si>
  <si>
    <t>Department of Orthopedic Surgery</t>
  </si>
  <si>
    <t>Department of Radiation Oncology</t>
  </si>
  <si>
    <t>Department of Urology</t>
  </si>
  <si>
    <t>Department of Imaging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</si>
</sst>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  <xf numFmtId="0" fontId="2" fillId="0" borderId="0" xfId="0" applyFont="1"/>
    <xf numFmtId="10" fontId="2" fillId="0" borderId="0" xfId="0" applyNumberFormat="1" applyFont="1"/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7"/>
  <sheetViews>
    <sheetView tabSelected="1" workbookViewId="0">
      <selection activeCell="E2" sqref="E2"/>
    </sheetView>
  </sheetViews>
  <sheetFormatPr defaultColWidth="22.7109375" defaultRowHeight="15"/>
  <cols>
    <col min="10" max="10" width="22.7109375" style="1"/>
  </cols>
  <sheetData>
    <row r="1" spans="1:19">
      <c r="A1" t="s">
        <v>0</v>
      </c>
      <c r="B1" t="s">
        <v>1</v>
      </c>
      <c r="C1" t="s">
        <v>883</v>
      </c>
      <c r="D1" t="s">
        <v>884</v>
      </c>
      <c r="E1" s="6" t="s">
        <v>987</v>
      </c>
      <c r="F1" t="s">
        <v>2</v>
      </c>
      <c r="G1" t="s">
        <v>968</v>
      </c>
      <c r="H1" t="s">
        <v>3</v>
      </c>
      <c r="I1" t="s">
        <v>4</v>
      </c>
      <c r="J1" s="1" t="s">
        <v>5</v>
      </c>
      <c r="K1" t="s">
        <v>6</v>
      </c>
      <c r="L1" s="6" t="s">
        <v>970</v>
      </c>
      <c r="M1" s="6" t="s">
        <v>971</v>
      </c>
      <c r="N1" t="s">
        <v>966</v>
      </c>
      <c r="O1" t="s">
        <v>967</v>
      </c>
      <c r="P1" s="6" t="s">
        <v>974</v>
      </c>
      <c r="Q1" s="6" t="s">
        <v>975</v>
      </c>
      <c r="R1" s="6" t="s">
        <v>976</v>
      </c>
      <c r="S1" s="6" t="s">
        <v>882</v>
      </c>
    </row>
    <row r="2" spans="1:19">
      <c r="A2" t="s">
        <v>318</v>
      </c>
      <c r="B2" t="s">
        <v>319</v>
      </c>
      <c r="C2" t="s">
        <v>988</v>
      </c>
      <c r="D2" t="s">
        <v>887</v>
      </c>
      <c r="E2" t="str">
        <f>C2&amp;"/"&amp;D2</f>
        <v>Department of Medicine/MED-Internal Medicine</v>
      </c>
      <c r="F2" t="s">
        <v>18</v>
      </c>
      <c r="G2" s="2" t="s">
        <v>866</v>
      </c>
      <c r="H2" t="s">
        <v>10</v>
      </c>
      <c r="I2" t="s">
        <v>96</v>
      </c>
      <c r="J2" s="1">
        <v>46196</v>
      </c>
      <c r="K2">
        <v>1</v>
      </c>
      <c r="L2" t="s">
        <v>972</v>
      </c>
      <c r="M2" t="s">
        <v>977</v>
      </c>
      <c r="N2" t="s">
        <v>966</v>
      </c>
      <c r="O2">
        <v>2023</v>
      </c>
      <c r="P2" t="str">
        <f>I2</f>
        <v>Black or African American</v>
      </c>
      <c r="Q2">
        <v>39.745566599999997</v>
      </c>
      <c r="R2">
        <v>-104.8359873</v>
      </c>
      <c r="S2">
        <f t="shared" ref="S2:S65" si="0">IF(N2="URM",1,"")</f>
        <v>1</v>
      </c>
    </row>
    <row r="3" spans="1:19">
      <c r="A3" t="s">
        <v>375</v>
      </c>
      <c r="B3" t="s">
        <v>278</v>
      </c>
      <c r="C3" t="s">
        <v>988</v>
      </c>
      <c r="D3" t="s">
        <v>887</v>
      </c>
      <c r="E3" t="str">
        <f t="shared" ref="E3:E66" si="1">C3&amp;"/"&amp;D3</f>
        <v>Department of Medicine/MED-Internal Medicine</v>
      </c>
      <c r="F3" t="s">
        <v>183</v>
      </c>
      <c r="G3" s="2" t="s">
        <v>866</v>
      </c>
      <c r="H3" t="s">
        <v>15</v>
      </c>
      <c r="I3" t="s">
        <v>21</v>
      </c>
      <c r="J3" s="1">
        <v>45466</v>
      </c>
      <c r="K3">
        <v>3</v>
      </c>
      <c r="L3" t="s">
        <v>972</v>
      </c>
      <c r="M3" t="s">
        <v>978</v>
      </c>
      <c r="N3" t="s">
        <v>21</v>
      </c>
      <c r="O3">
        <v>2023</v>
      </c>
      <c r="P3" t="str">
        <f t="shared" ref="P3:P66" si="2">I3</f>
        <v>White</v>
      </c>
      <c r="Q3">
        <v>33.793635299999998</v>
      </c>
      <c r="R3">
        <v>-84.322179556478247</v>
      </c>
      <c r="S3" t="str">
        <f t="shared" si="0"/>
        <v/>
      </c>
    </row>
    <row r="4" spans="1:19">
      <c r="A4" t="s">
        <v>226</v>
      </c>
      <c r="B4" t="s">
        <v>227</v>
      </c>
      <c r="C4" t="s">
        <v>989</v>
      </c>
      <c r="D4" t="s">
        <v>889</v>
      </c>
      <c r="E4" t="str">
        <f t="shared" si="1"/>
        <v>Department of Surgery/SURG-Surgery</v>
      </c>
      <c r="F4" t="s">
        <v>225</v>
      </c>
      <c r="G4" s="2" t="s">
        <v>866</v>
      </c>
      <c r="H4" t="s">
        <v>15</v>
      </c>
      <c r="I4" t="s">
        <v>21</v>
      </c>
      <c r="J4" s="1">
        <v>45466</v>
      </c>
      <c r="K4">
        <v>5</v>
      </c>
      <c r="L4" t="s">
        <v>972</v>
      </c>
      <c r="M4" t="s">
        <v>979</v>
      </c>
      <c r="N4" t="s">
        <v>21</v>
      </c>
      <c r="O4">
        <v>2023</v>
      </c>
      <c r="P4" t="str">
        <f t="shared" si="2"/>
        <v>White</v>
      </c>
      <c r="Q4">
        <v>40.443128700000003</v>
      </c>
      <c r="R4">
        <v>-79.961324099999999</v>
      </c>
      <c r="S4" t="str">
        <f t="shared" si="0"/>
        <v/>
      </c>
    </row>
    <row r="5" spans="1:19">
      <c r="A5" t="s">
        <v>247</v>
      </c>
      <c r="B5" t="s">
        <v>248</v>
      </c>
      <c r="C5" t="s">
        <v>989</v>
      </c>
      <c r="D5" t="s">
        <v>889</v>
      </c>
      <c r="E5" t="str">
        <f t="shared" si="1"/>
        <v>Department of Surgery/SURG-Surgery</v>
      </c>
      <c r="F5" t="s">
        <v>183</v>
      </c>
      <c r="G5" s="2" t="s">
        <v>866</v>
      </c>
      <c r="H5" t="s">
        <v>10</v>
      </c>
      <c r="I5" t="s">
        <v>96</v>
      </c>
      <c r="J5" s="1">
        <v>46196</v>
      </c>
      <c r="K5">
        <v>3</v>
      </c>
      <c r="L5" t="s">
        <v>972</v>
      </c>
      <c r="M5" t="s">
        <v>979</v>
      </c>
      <c r="N5" t="s">
        <v>966</v>
      </c>
      <c r="O5">
        <v>2023</v>
      </c>
      <c r="P5" t="str">
        <f t="shared" si="2"/>
        <v>Black or African American</v>
      </c>
      <c r="Q5">
        <v>40.443128700000003</v>
      </c>
      <c r="R5">
        <v>-79.961324099999999</v>
      </c>
      <c r="S5">
        <f t="shared" si="0"/>
        <v>1</v>
      </c>
    </row>
    <row r="6" spans="1:19">
      <c r="A6" t="s">
        <v>496</v>
      </c>
      <c r="B6" t="s">
        <v>497</v>
      </c>
      <c r="C6" t="s">
        <v>990</v>
      </c>
      <c r="D6" t="s">
        <v>886</v>
      </c>
      <c r="E6" t="str">
        <f t="shared" si="1"/>
        <v>Department of Anesthesia/ANES-Anesthesiology</v>
      </c>
      <c r="F6" t="s">
        <v>18</v>
      </c>
      <c r="G6" s="2" t="s">
        <v>866</v>
      </c>
      <c r="H6" t="s">
        <v>10</v>
      </c>
      <c r="I6" t="s">
        <v>163</v>
      </c>
      <c r="J6" s="1">
        <v>46568</v>
      </c>
      <c r="K6">
        <v>1</v>
      </c>
      <c r="L6" t="s">
        <v>972</v>
      </c>
      <c r="M6" t="s">
        <v>980</v>
      </c>
      <c r="N6" t="s">
        <v>11</v>
      </c>
      <c r="O6">
        <v>2023</v>
      </c>
      <c r="P6" t="s">
        <v>11</v>
      </c>
      <c r="Q6">
        <v>34.064282899999988</v>
      </c>
      <c r="R6">
        <v>-118.44235620000001</v>
      </c>
      <c r="S6" t="str">
        <f t="shared" si="0"/>
        <v/>
      </c>
    </row>
    <row r="7" spans="1:19">
      <c r="A7" t="s">
        <v>448</v>
      </c>
      <c r="B7" t="s">
        <v>679</v>
      </c>
      <c r="C7" t="s">
        <v>988</v>
      </c>
      <c r="D7" t="s">
        <v>904</v>
      </c>
      <c r="E7" t="str">
        <f t="shared" si="1"/>
        <v>Department of Medicine/MED-Hematology And Medical Oncology</v>
      </c>
      <c r="F7" t="s">
        <v>14</v>
      </c>
      <c r="G7" s="2" t="s">
        <v>865</v>
      </c>
      <c r="H7" t="s">
        <v>15</v>
      </c>
      <c r="I7" t="s">
        <v>21</v>
      </c>
      <c r="J7" s="1">
        <v>45838</v>
      </c>
      <c r="K7">
        <v>5</v>
      </c>
      <c r="L7" t="s">
        <v>972</v>
      </c>
      <c r="M7" t="s">
        <v>981</v>
      </c>
      <c r="N7" t="s">
        <v>21</v>
      </c>
      <c r="O7">
        <v>2023</v>
      </c>
      <c r="P7" t="str">
        <f t="shared" si="2"/>
        <v>White</v>
      </c>
      <c r="Q7">
        <v>42.336831850000003</v>
      </c>
      <c r="R7">
        <v>-71.103809211180575</v>
      </c>
      <c r="S7" t="str">
        <f t="shared" si="0"/>
        <v/>
      </c>
    </row>
    <row r="8" spans="1:19">
      <c r="A8" t="s">
        <v>448</v>
      </c>
      <c r="B8" t="s">
        <v>449</v>
      </c>
      <c r="C8" t="s">
        <v>988</v>
      </c>
      <c r="D8" t="s">
        <v>887</v>
      </c>
      <c r="E8" t="str">
        <f t="shared" si="1"/>
        <v>Department of Medicine/MED-Internal Medicine</v>
      </c>
      <c r="F8" t="s">
        <v>29</v>
      </c>
      <c r="G8" s="2" t="s">
        <v>866</v>
      </c>
      <c r="H8" t="s">
        <v>15</v>
      </c>
      <c r="I8" t="s">
        <v>11</v>
      </c>
      <c r="J8" s="1">
        <v>45831</v>
      </c>
      <c r="K8">
        <v>2</v>
      </c>
      <c r="L8" t="s">
        <v>972</v>
      </c>
      <c r="M8" t="s">
        <v>977</v>
      </c>
      <c r="N8" t="s">
        <v>11</v>
      </c>
      <c r="O8">
        <v>2023</v>
      </c>
      <c r="P8" t="str">
        <f t="shared" si="2"/>
        <v>Asian</v>
      </c>
      <c r="Q8">
        <v>39.745566599999997</v>
      </c>
      <c r="R8">
        <v>-104.8359873</v>
      </c>
      <c r="S8" t="str">
        <f t="shared" si="0"/>
        <v/>
      </c>
    </row>
    <row r="9" spans="1:19">
      <c r="A9" t="s">
        <v>646</v>
      </c>
      <c r="B9" t="s">
        <v>647</v>
      </c>
      <c r="C9" t="s">
        <v>991</v>
      </c>
      <c r="D9" t="s">
        <v>898</v>
      </c>
      <c r="E9" t="str">
        <f t="shared" si="1"/>
        <v>Department of Cardiology/CARD-Cardiovascular Disease</v>
      </c>
      <c r="F9" t="s">
        <v>14</v>
      </c>
      <c r="G9" s="2" t="s">
        <v>865</v>
      </c>
      <c r="H9" t="s">
        <v>15</v>
      </c>
      <c r="I9" t="s">
        <v>648</v>
      </c>
      <c r="J9" s="1">
        <v>45838</v>
      </c>
      <c r="K9">
        <v>5</v>
      </c>
      <c r="L9" t="s">
        <v>972</v>
      </c>
      <c r="M9" t="s">
        <v>982</v>
      </c>
      <c r="N9" t="s">
        <v>966</v>
      </c>
      <c r="O9">
        <v>2023</v>
      </c>
      <c r="P9" t="str">
        <f t="shared" si="2"/>
        <v>Black or African American, Hispanic or Latino</v>
      </c>
      <c r="Q9">
        <v>40.841542800000013</v>
      </c>
      <c r="R9">
        <v>-73.94139229999999</v>
      </c>
      <c r="S9">
        <f t="shared" si="0"/>
        <v>1</v>
      </c>
    </row>
    <row r="10" spans="1:19">
      <c r="A10" t="s">
        <v>644</v>
      </c>
      <c r="B10" t="s">
        <v>645</v>
      </c>
      <c r="C10" t="s">
        <v>992</v>
      </c>
      <c r="D10" t="s">
        <v>931</v>
      </c>
      <c r="E10" t="str">
        <f t="shared" si="1"/>
        <v>Department of Cardiac Surgery/CARDSURG-Thoracic Surgery-Independent</v>
      </c>
      <c r="F10" t="s">
        <v>14</v>
      </c>
      <c r="G10" s="2" t="s">
        <v>865</v>
      </c>
      <c r="H10" t="s">
        <v>15</v>
      </c>
      <c r="I10" t="s">
        <v>163</v>
      </c>
      <c r="J10" s="1">
        <v>45473</v>
      </c>
      <c r="K10">
        <v>7</v>
      </c>
      <c r="L10" t="s">
        <v>972</v>
      </c>
      <c r="M10" t="s">
        <v>982</v>
      </c>
      <c r="N10" t="s">
        <v>11</v>
      </c>
      <c r="O10">
        <v>2023</v>
      </c>
      <c r="P10" t="s">
        <v>11</v>
      </c>
      <c r="Q10">
        <v>40.841542800000013</v>
      </c>
      <c r="R10">
        <v>-73.94139229999999</v>
      </c>
      <c r="S10" t="str">
        <f t="shared" si="0"/>
        <v/>
      </c>
    </row>
    <row r="11" spans="1:19">
      <c r="A11" t="s">
        <v>186</v>
      </c>
      <c r="B11" t="s">
        <v>187</v>
      </c>
      <c r="C11" t="s">
        <v>993</v>
      </c>
      <c r="D11" t="s">
        <v>917</v>
      </c>
      <c r="E11" t="str">
        <f t="shared" si="1"/>
        <v>Department of Neurology/NEURO-Neurology</v>
      </c>
      <c r="F11" t="s">
        <v>183</v>
      </c>
      <c r="G11" s="2" t="s">
        <v>866</v>
      </c>
      <c r="H11" t="s">
        <v>10</v>
      </c>
      <c r="I11" t="s">
        <v>80</v>
      </c>
      <c r="J11" s="1">
        <v>45473</v>
      </c>
      <c r="K11">
        <v>4</v>
      </c>
      <c r="L11" t="s">
        <v>972</v>
      </c>
      <c r="M11" t="s">
        <v>983</v>
      </c>
      <c r="N11" t="s">
        <v>80</v>
      </c>
      <c r="O11">
        <v>2023</v>
      </c>
      <c r="P11" t="str">
        <f t="shared" si="2"/>
        <v>Other</v>
      </c>
      <c r="Q11">
        <v>32.874409200000002</v>
      </c>
      <c r="R11">
        <v>-117.23611849678871</v>
      </c>
      <c r="S11" t="str">
        <f t="shared" si="0"/>
        <v/>
      </c>
    </row>
    <row r="12" spans="1:19">
      <c r="A12" t="s">
        <v>735</v>
      </c>
      <c r="B12" t="s">
        <v>736</v>
      </c>
      <c r="C12" t="s">
        <v>993</v>
      </c>
      <c r="D12" t="s">
        <v>906</v>
      </c>
      <c r="E12" t="str">
        <f t="shared" si="1"/>
        <v>Department of Neurology/NEURO-Neurologic Critical Care</v>
      </c>
      <c r="F12" t="s">
        <v>14</v>
      </c>
      <c r="G12" s="2" t="s">
        <v>865</v>
      </c>
      <c r="H12" t="s">
        <v>15</v>
      </c>
      <c r="I12" t="s">
        <v>80</v>
      </c>
      <c r="J12" s="1">
        <v>45473</v>
      </c>
      <c r="K12">
        <v>6</v>
      </c>
      <c r="L12" t="s">
        <v>972</v>
      </c>
      <c r="M12" t="s">
        <v>978</v>
      </c>
      <c r="N12" t="s">
        <v>80</v>
      </c>
      <c r="O12">
        <v>2023</v>
      </c>
      <c r="P12" t="str">
        <f t="shared" si="2"/>
        <v>Other</v>
      </c>
      <c r="Q12">
        <v>33.793635299999998</v>
      </c>
      <c r="R12">
        <v>-84.322179556478247</v>
      </c>
      <c r="S12" t="str">
        <f t="shared" si="0"/>
        <v/>
      </c>
    </row>
    <row r="13" spans="1:19">
      <c r="A13" t="s">
        <v>19</v>
      </c>
      <c r="B13" t="s">
        <v>20</v>
      </c>
      <c r="C13" t="s">
        <v>991</v>
      </c>
      <c r="D13" t="s">
        <v>912</v>
      </c>
      <c r="E13" t="str">
        <f t="shared" si="1"/>
        <v>Department of Cardiology/CARD-Women's Heart Disease</v>
      </c>
      <c r="F13" t="s">
        <v>9</v>
      </c>
      <c r="G13" t="s">
        <v>969</v>
      </c>
      <c r="H13" t="s">
        <v>15</v>
      </c>
      <c r="I13" t="s">
        <v>21</v>
      </c>
      <c r="J13" s="1">
        <v>45473</v>
      </c>
      <c r="K13">
        <v>4</v>
      </c>
      <c r="L13" t="s">
        <v>972</v>
      </c>
      <c r="M13" t="s">
        <v>984</v>
      </c>
      <c r="N13" t="s">
        <v>21</v>
      </c>
      <c r="O13">
        <v>2023</v>
      </c>
      <c r="P13" t="str">
        <f t="shared" si="2"/>
        <v>White</v>
      </c>
      <c r="Q13">
        <v>34.061138</v>
      </c>
      <c r="R13">
        <v>-118.2057365</v>
      </c>
      <c r="S13" t="str">
        <f t="shared" si="0"/>
        <v/>
      </c>
    </row>
    <row r="14" spans="1:19">
      <c r="A14" t="s">
        <v>847</v>
      </c>
      <c r="B14" t="s">
        <v>848</v>
      </c>
      <c r="C14" t="s">
        <v>993</v>
      </c>
      <c r="D14" t="s">
        <v>962</v>
      </c>
      <c r="E14" t="str">
        <f t="shared" si="1"/>
        <v>Department of Neurology/NEURO-Immunology/Multiple Sclerosis</v>
      </c>
      <c r="F14" t="s">
        <v>9</v>
      </c>
      <c r="G14" t="s">
        <v>969</v>
      </c>
      <c r="H14" t="s">
        <v>10</v>
      </c>
      <c r="I14" t="s">
        <v>80</v>
      </c>
      <c r="J14" s="1">
        <v>45473</v>
      </c>
      <c r="K14">
        <v>5</v>
      </c>
      <c r="L14" t="s">
        <v>972</v>
      </c>
      <c r="M14" t="s">
        <v>978</v>
      </c>
      <c r="N14" t="s">
        <v>80</v>
      </c>
      <c r="O14">
        <v>2023</v>
      </c>
      <c r="P14" t="str">
        <f t="shared" si="2"/>
        <v>Other</v>
      </c>
      <c r="Q14">
        <v>33.793635299999998</v>
      </c>
      <c r="R14">
        <v>-84.322179556478247</v>
      </c>
      <c r="S14" t="str">
        <f t="shared" si="0"/>
        <v/>
      </c>
    </row>
    <row r="15" spans="1:19">
      <c r="A15" t="s">
        <v>743</v>
      </c>
      <c r="B15" t="s">
        <v>303</v>
      </c>
      <c r="C15" t="s">
        <v>990</v>
      </c>
      <c r="D15" t="s">
        <v>886</v>
      </c>
      <c r="E15" t="str">
        <f t="shared" si="1"/>
        <v>Department of Anesthesia/ANES-Anesthesiology</v>
      </c>
      <c r="F15" t="s">
        <v>29</v>
      </c>
      <c r="G15" s="2" t="s">
        <v>866</v>
      </c>
      <c r="H15" t="s">
        <v>15</v>
      </c>
      <c r="I15" t="s">
        <v>11</v>
      </c>
      <c r="J15" s="1">
        <v>46203</v>
      </c>
      <c r="K15">
        <v>2</v>
      </c>
      <c r="L15" t="s">
        <v>972</v>
      </c>
      <c r="M15" t="s">
        <v>980</v>
      </c>
      <c r="N15" t="s">
        <v>11</v>
      </c>
      <c r="O15">
        <v>2023</v>
      </c>
      <c r="P15" t="str">
        <f t="shared" si="2"/>
        <v>Asian</v>
      </c>
      <c r="Q15">
        <v>34.064282899999988</v>
      </c>
      <c r="R15">
        <v>-118.44235620000001</v>
      </c>
      <c r="S15" t="str">
        <f t="shared" si="0"/>
        <v/>
      </c>
    </row>
    <row r="16" spans="1:19">
      <c r="A16" t="s">
        <v>637</v>
      </c>
      <c r="B16" t="s">
        <v>638</v>
      </c>
      <c r="C16" t="s">
        <v>988</v>
      </c>
      <c r="D16" t="s">
        <v>903</v>
      </c>
      <c r="E16" t="str">
        <f t="shared" si="1"/>
        <v>Department of Medicine/MED-Gastroenterology</v>
      </c>
      <c r="F16" t="s">
        <v>9</v>
      </c>
      <c r="G16" s="2" t="s">
        <v>865</v>
      </c>
      <c r="H16" t="s">
        <v>15</v>
      </c>
      <c r="I16" t="s">
        <v>11</v>
      </c>
      <c r="J16" s="1">
        <v>46203</v>
      </c>
      <c r="K16">
        <v>3</v>
      </c>
      <c r="L16" t="s">
        <v>972</v>
      </c>
      <c r="M16" t="s">
        <v>984</v>
      </c>
      <c r="N16" t="s">
        <v>11</v>
      </c>
      <c r="O16">
        <v>2023</v>
      </c>
      <c r="P16" t="str">
        <f t="shared" si="2"/>
        <v>Asian</v>
      </c>
      <c r="Q16">
        <v>34.061138</v>
      </c>
      <c r="R16">
        <v>-118.2057365</v>
      </c>
      <c r="S16" t="str">
        <f t="shared" si="0"/>
        <v/>
      </c>
    </row>
    <row r="17" spans="1:19">
      <c r="A17" t="s">
        <v>144</v>
      </c>
      <c r="B17" t="s">
        <v>145</v>
      </c>
      <c r="C17" t="s">
        <v>990</v>
      </c>
      <c r="D17" t="s">
        <v>920</v>
      </c>
      <c r="E17" t="str">
        <f t="shared" si="1"/>
        <v>Department of Anesthesia/ANES-Adult Cardiothoracic Anesthesiology</v>
      </c>
      <c r="F17" t="s">
        <v>9</v>
      </c>
      <c r="G17" s="2" t="s">
        <v>865</v>
      </c>
      <c r="H17" t="s">
        <v>15</v>
      </c>
      <c r="I17" t="s">
        <v>11</v>
      </c>
      <c r="J17" s="1">
        <v>45504</v>
      </c>
      <c r="K17">
        <v>5</v>
      </c>
      <c r="L17" t="s">
        <v>972</v>
      </c>
      <c r="M17" t="s">
        <v>985</v>
      </c>
      <c r="N17" t="s">
        <v>11</v>
      </c>
      <c r="O17">
        <v>2023</v>
      </c>
      <c r="P17" t="str">
        <f t="shared" si="2"/>
        <v>Asian</v>
      </c>
      <c r="Q17">
        <v>37.4582762</v>
      </c>
      <c r="R17">
        <v>-122.1739822</v>
      </c>
      <c r="S17" t="str">
        <f t="shared" si="0"/>
        <v/>
      </c>
    </row>
    <row r="18" spans="1:19">
      <c r="A18" t="s">
        <v>814</v>
      </c>
      <c r="B18" t="s">
        <v>815</v>
      </c>
      <c r="C18" t="s">
        <v>988</v>
      </c>
      <c r="D18" t="s">
        <v>926</v>
      </c>
      <c r="E18" t="str">
        <f t="shared" si="1"/>
        <v>Department of Medicine/MED-Advanced Endoscopy</v>
      </c>
      <c r="F18" t="s">
        <v>9</v>
      </c>
      <c r="G18" t="s">
        <v>969</v>
      </c>
      <c r="H18" t="s">
        <v>15</v>
      </c>
      <c r="I18" t="s">
        <v>11</v>
      </c>
      <c r="J18" s="1">
        <v>45473</v>
      </c>
      <c r="K18">
        <v>7</v>
      </c>
      <c r="L18" t="s">
        <v>972</v>
      </c>
      <c r="M18" t="s">
        <v>984</v>
      </c>
      <c r="N18" t="s">
        <v>11</v>
      </c>
      <c r="O18">
        <v>2023</v>
      </c>
      <c r="P18" t="str">
        <f t="shared" si="2"/>
        <v>Asian</v>
      </c>
      <c r="Q18">
        <v>34.061138</v>
      </c>
      <c r="R18">
        <v>-118.2057365</v>
      </c>
      <c r="S18" t="str">
        <f t="shared" si="0"/>
        <v/>
      </c>
    </row>
    <row r="19" spans="1:19">
      <c r="A19" t="s">
        <v>198</v>
      </c>
      <c r="B19" t="s">
        <v>125</v>
      </c>
      <c r="C19" t="s">
        <v>990</v>
      </c>
      <c r="D19" t="s">
        <v>886</v>
      </c>
      <c r="E19" t="str">
        <f t="shared" si="1"/>
        <v>Department of Anesthesia/ANES-Anesthesiology</v>
      </c>
      <c r="F19" t="s">
        <v>29</v>
      </c>
      <c r="G19" s="2" t="s">
        <v>866</v>
      </c>
      <c r="H19" t="s">
        <v>15</v>
      </c>
      <c r="I19" t="s">
        <v>21</v>
      </c>
      <c r="J19" s="1">
        <v>46203</v>
      </c>
      <c r="K19">
        <v>2</v>
      </c>
      <c r="L19" t="s">
        <v>972</v>
      </c>
      <c r="M19" t="s">
        <v>965</v>
      </c>
      <c r="N19" t="s">
        <v>21</v>
      </c>
      <c r="O19">
        <v>2023</v>
      </c>
      <c r="P19" t="str">
        <f t="shared" si="2"/>
        <v>White</v>
      </c>
      <c r="Q19">
        <v>40.347099999999998</v>
      </c>
      <c r="R19">
        <v>-74.661600000000007</v>
      </c>
      <c r="S19" t="str">
        <f t="shared" si="0"/>
        <v/>
      </c>
    </row>
    <row r="20" spans="1:19">
      <c r="A20" t="s">
        <v>675</v>
      </c>
      <c r="B20" t="s">
        <v>676</v>
      </c>
      <c r="C20" t="s">
        <v>988</v>
      </c>
      <c r="D20" t="s">
        <v>901</v>
      </c>
      <c r="E20" t="str">
        <f t="shared" si="1"/>
        <v>Department of Medicine/MED-Endocrinology</v>
      </c>
      <c r="F20" t="s">
        <v>9</v>
      </c>
      <c r="G20" s="2" t="s">
        <v>865</v>
      </c>
      <c r="H20" t="s">
        <v>10</v>
      </c>
      <c r="I20" t="s">
        <v>47</v>
      </c>
      <c r="J20" s="1">
        <v>46203</v>
      </c>
      <c r="K20">
        <v>4</v>
      </c>
      <c r="L20" t="s">
        <v>972</v>
      </c>
      <c r="M20" t="s">
        <v>984</v>
      </c>
      <c r="N20" t="s">
        <v>80</v>
      </c>
      <c r="O20">
        <v>2023</v>
      </c>
      <c r="P20" t="s">
        <v>80</v>
      </c>
      <c r="Q20">
        <v>34.061138</v>
      </c>
      <c r="R20">
        <v>-118.2057365</v>
      </c>
      <c r="S20" t="str">
        <f t="shared" si="0"/>
        <v/>
      </c>
    </row>
    <row r="21" spans="1:19">
      <c r="A21" t="s">
        <v>81</v>
      </c>
      <c r="B21" t="s">
        <v>82</v>
      </c>
      <c r="C21" t="s">
        <v>993</v>
      </c>
      <c r="D21" t="s">
        <v>917</v>
      </c>
      <c r="E21" t="str">
        <f t="shared" si="1"/>
        <v>Department of Neurology/NEURO-Neurology</v>
      </c>
      <c r="F21" t="s">
        <v>29</v>
      </c>
      <c r="G21" s="2" t="s">
        <v>866</v>
      </c>
      <c r="H21" t="s">
        <v>15</v>
      </c>
      <c r="I21" t="s">
        <v>83</v>
      </c>
      <c r="J21" s="1">
        <v>45838</v>
      </c>
      <c r="K21">
        <v>3</v>
      </c>
      <c r="L21" t="s">
        <v>972</v>
      </c>
      <c r="M21" t="s">
        <v>983</v>
      </c>
      <c r="N21" t="s">
        <v>966</v>
      </c>
      <c r="O21">
        <v>2023</v>
      </c>
      <c r="P21" t="str">
        <f t="shared" si="2"/>
        <v>Hispanic or Latino</v>
      </c>
      <c r="Q21">
        <v>32.874409200000002</v>
      </c>
      <c r="R21">
        <v>-117.23611849678871</v>
      </c>
      <c r="S21">
        <f t="shared" si="0"/>
        <v>1</v>
      </c>
    </row>
    <row r="22" spans="1:19">
      <c r="A22" t="s">
        <v>705</v>
      </c>
      <c r="B22" t="s">
        <v>572</v>
      </c>
      <c r="C22" t="s">
        <v>993</v>
      </c>
      <c r="D22" t="s">
        <v>917</v>
      </c>
      <c r="E22" t="str">
        <f t="shared" si="1"/>
        <v>Department of Neurology/NEURO-Neurology</v>
      </c>
      <c r="F22" t="s">
        <v>29</v>
      </c>
      <c r="G22" s="2" t="s">
        <v>866</v>
      </c>
      <c r="H22" t="s">
        <v>15</v>
      </c>
      <c r="I22" t="s">
        <v>11</v>
      </c>
      <c r="J22" s="1">
        <v>45838</v>
      </c>
      <c r="K22">
        <v>3</v>
      </c>
      <c r="L22" t="s">
        <v>972</v>
      </c>
      <c r="M22" t="s">
        <v>978</v>
      </c>
      <c r="N22" t="s">
        <v>11</v>
      </c>
      <c r="O22">
        <v>2023</v>
      </c>
      <c r="P22" t="str">
        <f t="shared" si="2"/>
        <v>Asian</v>
      </c>
      <c r="Q22">
        <v>33.793635299999998</v>
      </c>
      <c r="R22">
        <v>-84.322179556478247</v>
      </c>
      <c r="S22" t="str">
        <f t="shared" si="0"/>
        <v/>
      </c>
    </row>
    <row r="23" spans="1:19">
      <c r="A23" t="s">
        <v>299</v>
      </c>
      <c r="B23" t="s">
        <v>300</v>
      </c>
      <c r="C23" t="s">
        <v>989</v>
      </c>
      <c r="D23" t="s">
        <v>889</v>
      </c>
      <c r="E23" t="str">
        <f t="shared" si="1"/>
        <v>Department of Surgery/SURG-Surgery</v>
      </c>
      <c r="F23" t="s">
        <v>29</v>
      </c>
      <c r="G23" s="2" t="s">
        <v>866</v>
      </c>
      <c r="H23" t="s">
        <v>15</v>
      </c>
      <c r="I23" t="s">
        <v>21</v>
      </c>
      <c r="J23" s="1">
        <v>46561</v>
      </c>
      <c r="K23">
        <v>2</v>
      </c>
      <c r="L23" t="s">
        <v>972</v>
      </c>
      <c r="M23" t="s">
        <v>979</v>
      </c>
      <c r="N23" t="s">
        <v>21</v>
      </c>
      <c r="O23">
        <v>2023</v>
      </c>
      <c r="P23" t="str">
        <f t="shared" si="2"/>
        <v>White</v>
      </c>
      <c r="Q23">
        <v>40.443128700000003</v>
      </c>
      <c r="R23">
        <v>-79.961324099999999</v>
      </c>
      <c r="S23" t="str">
        <f t="shared" si="0"/>
        <v/>
      </c>
    </row>
    <row r="24" spans="1:19">
      <c r="A24" t="s">
        <v>52</v>
      </c>
      <c r="B24" t="s">
        <v>53</v>
      </c>
      <c r="C24" t="s">
        <v>994</v>
      </c>
      <c r="D24" t="s">
        <v>919</v>
      </c>
      <c r="E24" t="str">
        <f t="shared" si="1"/>
        <v>Department of Pathology/PATH-Pathology</v>
      </c>
      <c r="F24" t="s">
        <v>29</v>
      </c>
      <c r="G24" s="2" t="s">
        <v>866</v>
      </c>
      <c r="H24" t="s">
        <v>10</v>
      </c>
      <c r="I24" t="s">
        <v>21</v>
      </c>
      <c r="J24" s="1">
        <v>46196</v>
      </c>
      <c r="K24">
        <v>2</v>
      </c>
      <c r="L24" t="s">
        <v>972</v>
      </c>
      <c r="M24" t="s">
        <v>986</v>
      </c>
      <c r="N24" t="s">
        <v>21</v>
      </c>
      <c r="O24">
        <v>2023</v>
      </c>
      <c r="P24" t="str">
        <f t="shared" si="2"/>
        <v>White</v>
      </c>
      <c r="Q24">
        <v>36.005368400000002</v>
      </c>
      <c r="R24">
        <v>-78.938201699999993</v>
      </c>
      <c r="S24" t="str">
        <f t="shared" si="0"/>
        <v/>
      </c>
    </row>
    <row r="25" spans="1:19">
      <c r="A25" t="s">
        <v>731</v>
      </c>
      <c r="B25" t="s">
        <v>355</v>
      </c>
      <c r="C25" t="s">
        <v>988</v>
      </c>
      <c r="D25" t="s">
        <v>892</v>
      </c>
      <c r="E25" t="str">
        <f t="shared" si="1"/>
        <v>Department of Medicine/MED-Rheumatology</v>
      </c>
      <c r="F25" t="s">
        <v>14</v>
      </c>
      <c r="G25" s="2" t="s">
        <v>865</v>
      </c>
      <c r="H25" t="s">
        <v>15</v>
      </c>
      <c r="I25" t="s">
        <v>47</v>
      </c>
      <c r="J25" s="1">
        <v>45473</v>
      </c>
      <c r="K25">
        <v>5</v>
      </c>
      <c r="L25" t="s">
        <v>972</v>
      </c>
      <c r="M25" t="s">
        <v>978</v>
      </c>
      <c r="N25" t="s">
        <v>80</v>
      </c>
      <c r="O25">
        <v>2023</v>
      </c>
      <c r="P25" t="s">
        <v>80</v>
      </c>
      <c r="Q25">
        <v>33.793635299999998</v>
      </c>
      <c r="R25">
        <v>-84.322179556478247</v>
      </c>
      <c r="S25" t="str">
        <f t="shared" si="0"/>
        <v/>
      </c>
    </row>
    <row r="26" spans="1:19">
      <c r="A26" t="s">
        <v>631</v>
      </c>
      <c r="B26" t="s">
        <v>632</v>
      </c>
      <c r="C26" t="s">
        <v>995</v>
      </c>
      <c r="D26" t="s">
        <v>918</v>
      </c>
      <c r="E26" t="str">
        <f t="shared" si="1"/>
        <v>Department of Neurosurgery/NEUROSURG-Neurological Surgery</v>
      </c>
      <c r="F26" t="s">
        <v>316</v>
      </c>
      <c r="G26" s="2" t="s">
        <v>866</v>
      </c>
      <c r="H26" t="s">
        <v>15</v>
      </c>
      <c r="I26" t="s">
        <v>80</v>
      </c>
      <c r="J26" s="1">
        <v>45838</v>
      </c>
      <c r="K26">
        <v>6</v>
      </c>
      <c r="L26" t="s">
        <v>972</v>
      </c>
      <c r="M26" t="s">
        <v>983</v>
      </c>
      <c r="N26" t="s">
        <v>80</v>
      </c>
      <c r="O26">
        <v>2023</v>
      </c>
      <c r="P26" t="str">
        <f t="shared" si="2"/>
        <v>Other</v>
      </c>
      <c r="Q26">
        <v>32.874409200000002</v>
      </c>
      <c r="R26">
        <v>-117.23611849678871</v>
      </c>
      <c r="S26" t="str">
        <f t="shared" si="0"/>
        <v/>
      </c>
    </row>
    <row r="27" spans="1:19">
      <c r="A27" t="s">
        <v>279</v>
      </c>
      <c r="B27" t="s">
        <v>58</v>
      </c>
      <c r="C27" t="s">
        <v>994</v>
      </c>
      <c r="D27" t="s">
        <v>919</v>
      </c>
      <c r="E27" t="str">
        <f t="shared" si="1"/>
        <v>Department of Pathology/PATH-Pathology</v>
      </c>
      <c r="F27" t="s">
        <v>74</v>
      </c>
      <c r="G27" s="2" t="s">
        <v>866</v>
      </c>
      <c r="H27" t="s">
        <v>15</v>
      </c>
      <c r="I27" t="s">
        <v>21</v>
      </c>
      <c r="J27" s="1">
        <v>45466</v>
      </c>
      <c r="K27">
        <v>4</v>
      </c>
      <c r="L27" t="s">
        <v>972</v>
      </c>
      <c r="M27" t="s">
        <v>986</v>
      </c>
      <c r="N27" t="s">
        <v>21</v>
      </c>
      <c r="O27">
        <v>2023</v>
      </c>
      <c r="P27" t="str">
        <f t="shared" si="2"/>
        <v>White</v>
      </c>
      <c r="Q27">
        <v>36.005368400000002</v>
      </c>
      <c r="R27">
        <v>-78.938201699999993</v>
      </c>
      <c r="S27" t="str">
        <f t="shared" si="0"/>
        <v/>
      </c>
    </row>
    <row r="28" spans="1:19">
      <c r="A28" t="s">
        <v>745</v>
      </c>
      <c r="B28" t="s">
        <v>746</v>
      </c>
      <c r="C28" t="s">
        <v>990</v>
      </c>
      <c r="D28" t="s">
        <v>886</v>
      </c>
      <c r="E28" t="str">
        <f t="shared" si="1"/>
        <v>Department of Anesthesia/ANES-Anesthesiology</v>
      </c>
      <c r="F28" t="s">
        <v>29</v>
      </c>
      <c r="G28" s="2" t="s">
        <v>866</v>
      </c>
      <c r="H28" t="s">
        <v>15</v>
      </c>
      <c r="I28" t="s">
        <v>21</v>
      </c>
      <c r="J28" s="1">
        <v>46203</v>
      </c>
      <c r="K28">
        <v>2</v>
      </c>
      <c r="L28" t="s">
        <v>972</v>
      </c>
      <c r="M28" t="s">
        <v>965</v>
      </c>
      <c r="N28" t="s">
        <v>21</v>
      </c>
      <c r="O28">
        <v>2023</v>
      </c>
      <c r="P28" t="str">
        <f t="shared" si="2"/>
        <v>White</v>
      </c>
      <c r="Q28">
        <v>40.347099999999998</v>
      </c>
      <c r="R28">
        <v>-74.661600000000007</v>
      </c>
      <c r="S28" t="str">
        <f t="shared" si="0"/>
        <v/>
      </c>
    </row>
    <row r="29" spans="1:19">
      <c r="A29" t="s">
        <v>769</v>
      </c>
      <c r="B29" t="s">
        <v>770</v>
      </c>
      <c r="C29" t="s">
        <v>989</v>
      </c>
      <c r="D29" t="s">
        <v>885</v>
      </c>
      <c r="E29" t="str">
        <f t="shared" si="1"/>
        <v>Department of Surgery/SURG-Vascular Surgery</v>
      </c>
      <c r="F29" t="s">
        <v>9</v>
      </c>
      <c r="G29" s="2" t="s">
        <v>865</v>
      </c>
      <c r="H29" t="s">
        <v>10</v>
      </c>
      <c r="I29" t="s">
        <v>80</v>
      </c>
      <c r="J29" s="1">
        <v>45838</v>
      </c>
      <c r="K29">
        <v>6</v>
      </c>
      <c r="L29" t="s">
        <v>972</v>
      </c>
      <c r="M29" t="s">
        <v>979</v>
      </c>
      <c r="N29" t="s">
        <v>80</v>
      </c>
      <c r="O29">
        <v>2023</v>
      </c>
      <c r="P29" t="str">
        <f t="shared" si="2"/>
        <v>Other</v>
      </c>
      <c r="Q29">
        <v>40.443128700000003</v>
      </c>
      <c r="R29">
        <v>-79.961324099999999</v>
      </c>
      <c r="S29" t="str">
        <f t="shared" si="0"/>
        <v/>
      </c>
    </row>
    <row r="30" spans="1:19">
      <c r="A30" t="s">
        <v>34</v>
      </c>
      <c r="B30" t="s">
        <v>35</v>
      </c>
      <c r="C30" t="s">
        <v>989</v>
      </c>
      <c r="D30" t="s">
        <v>930</v>
      </c>
      <c r="E30" t="str">
        <f t="shared" si="1"/>
        <v>Department of Surgery/SURG-Podiatric Surgery</v>
      </c>
      <c r="F30" t="s">
        <v>29</v>
      </c>
      <c r="G30" s="2" t="s">
        <v>80</v>
      </c>
      <c r="H30" t="s">
        <v>15</v>
      </c>
      <c r="I30" t="s">
        <v>11</v>
      </c>
      <c r="J30" s="1">
        <v>45869</v>
      </c>
      <c r="K30">
        <v>2</v>
      </c>
      <c r="L30" t="s">
        <v>972</v>
      </c>
      <c r="M30" t="s">
        <v>981</v>
      </c>
      <c r="N30" t="s">
        <v>11</v>
      </c>
      <c r="O30">
        <v>2023</v>
      </c>
      <c r="P30" t="str">
        <f t="shared" si="2"/>
        <v>Asian</v>
      </c>
      <c r="Q30">
        <v>42.336831850000003</v>
      </c>
      <c r="R30">
        <v>-71.103809211180575</v>
      </c>
      <c r="S30" t="str">
        <f t="shared" si="0"/>
        <v/>
      </c>
    </row>
    <row r="31" spans="1:19">
      <c r="A31" t="s">
        <v>834</v>
      </c>
      <c r="B31" t="s">
        <v>835</v>
      </c>
      <c r="C31" t="s">
        <v>992</v>
      </c>
      <c r="D31" t="s">
        <v>925</v>
      </c>
      <c r="E31" t="str">
        <f t="shared" si="1"/>
        <v>Department of Cardiac Surgery/CARDSURG-Thoracic Transplantation and Mechanical</v>
      </c>
      <c r="F31" t="s">
        <v>9</v>
      </c>
      <c r="G31" t="s">
        <v>969</v>
      </c>
      <c r="H31" t="s">
        <v>15</v>
      </c>
      <c r="I31" t="s">
        <v>11</v>
      </c>
      <c r="J31" s="1">
        <v>45473</v>
      </c>
      <c r="K31">
        <v>8</v>
      </c>
      <c r="L31" t="s">
        <v>972</v>
      </c>
      <c r="M31" t="s">
        <v>984</v>
      </c>
      <c r="N31" t="s">
        <v>11</v>
      </c>
      <c r="O31">
        <v>2023</v>
      </c>
      <c r="P31" t="str">
        <f t="shared" si="2"/>
        <v>Asian</v>
      </c>
      <c r="Q31">
        <v>34.061138</v>
      </c>
      <c r="R31">
        <v>-118.2057365</v>
      </c>
      <c r="S31" t="str">
        <f t="shared" si="0"/>
        <v/>
      </c>
    </row>
    <row r="32" spans="1:19">
      <c r="A32" t="s">
        <v>797</v>
      </c>
      <c r="B32" t="s">
        <v>798</v>
      </c>
      <c r="C32" t="s">
        <v>991</v>
      </c>
      <c r="D32" t="s">
        <v>897</v>
      </c>
      <c r="E32" t="str">
        <f t="shared" si="1"/>
        <v>Department of Cardiology/CARD-Adv Heart Failure and Transplant Cardiology</v>
      </c>
      <c r="F32" t="s">
        <v>9</v>
      </c>
      <c r="G32" s="2" t="s">
        <v>865</v>
      </c>
      <c r="H32" t="s">
        <v>10</v>
      </c>
      <c r="I32" t="s">
        <v>11</v>
      </c>
      <c r="J32" s="1">
        <v>45473</v>
      </c>
      <c r="K32">
        <v>7</v>
      </c>
      <c r="L32" t="s">
        <v>972</v>
      </c>
      <c r="M32" t="s">
        <v>982</v>
      </c>
      <c r="N32" t="s">
        <v>11</v>
      </c>
      <c r="O32">
        <v>2023</v>
      </c>
      <c r="P32" t="str">
        <f t="shared" si="2"/>
        <v>Asian</v>
      </c>
      <c r="Q32">
        <v>40.841542800000013</v>
      </c>
      <c r="R32">
        <v>-73.94139229999999</v>
      </c>
      <c r="S32" t="str">
        <f t="shared" si="0"/>
        <v/>
      </c>
    </row>
    <row r="33" spans="1:19">
      <c r="A33" t="s">
        <v>836</v>
      </c>
      <c r="B33" t="s">
        <v>837</v>
      </c>
      <c r="C33" t="s">
        <v>991</v>
      </c>
      <c r="D33" t="s">
        <v>899</v>
      </c>
      <c r="E33" t="str">
        <f t="shared" si="1"/>
        <v>Department of Cardiology/CARD-Interventional Cardiology</v>
      </c>
      <c r="F33" t="s">
        <v>9</v>
      </c>
      <c r="G33" s="2" t="s">
        <v>865</v>
      </c>
      <c r="H33" t="s">
        <v>10</v>
      </c>
      <c r="I33" t="s">
        <v>11</v>
      </c>
      <c r="J33" s="1">
        <v>45473</v>
      </c>
      <c r="K33">
        <v>7</v>
      </c>
      <c r="L33" t="s">
        <v>972</v>
      </c>
      <c r="M33" t="s">
        <v>982</v>
      </c>
      <c r="N33" t="s">
        <v>11</v>
      </c>
      <c r="O33">
        <v>2023</v>
      </c>
      <c r="P33" t="str">
        <f t="shared" si="2"/>
        <v>Asian</v>
      </c>
      <c r="Q33">
        <v>40.841542800000013</v>
      </c>
      <c r="R33">
        <v>-73.94139229999999</v>
      </c>
      <c r="S33" t="str">
        <f t="shared" si="0"/>
        <v/>
      </c>
    </row>
    <row r="34" spans="1:19">
      <c r="A34" t="s">
        <v>408</v>
      </c>
      <c r="B34" t="s">
        <v>409</v>
      </c>
      <c r="C34" t="s">
        <v>996</v>
      </c>
      <c r="D34" t="s">
        <v>960</v>
      </c>
      <c r="E34" t="str">
        <f t="shared" si="1"/>
        <v>Department of Obstetrics &amp; Gynecology/OB/GYN-Obstetrics &amp; Gynecology</v>
      </c>
      <c r="F34" t="s">
        <v>29</v>
      </c>
      <c r="G34" s="2" t="s">
        <v>866</v>
      </c>
      <c r="H34" t="s">
        <v>10</v>
      </c>
      <c r="I34" t="s">
        <v>21</v>
      </c>
      <c r="J34" s="1">
        <v>46196</v>
      </c>
      <c r="K34">
        <v>2</v>
      </c>
      <c r="L34" t="s">
        <v>972</v>
      </c>
      <c r="M34" t="s">
        <v>983</v>
      </c>
      <c r="N34" t="s">
        <v>21</v>
      </c>
      <c r="O34">
        <v>2023</v>
      </c>
      <c r="P34" t="str">
        <f t="shared" si="2"/>
        <v>White</v>
      </c>
      <c r="Q34">
        <v>32.874409200000002</v>
      </c>
      <c r="R34">
        <v>-117.23611849678871</v>
      </c>
      <c r="S34" t="str">
        <f t="shared" si="0"/>
        <v/>
      </c>
    </row>
    <row r="35" spans="1:19">
      <c r="A35" t="s">
        <v>32</v>
      </c>
      <c r="B35" t="s">
        <v>33</v>
      </c>
      <c r="C35" t="s">
        <v>989</v>
      </c>
      <c r="D35" t="s">
        <v>935</v>
      </c>
      <c r="E35" t="str">
        <f t="shared" si="1"/>
        <v>Department of Surgery/SURG-Critical Care</v>
      </c>
      <c r="F35" t="s">
        <v>9</v>
      </c>
      <c r="G35" s="2" t="s">
        <v>865</v>
      </c>
      <c r="H35" t="s">
        <v>10</v>
      </c>
      <c r="I35" t="s">
        <v>21</v>
      </c>
      <c r="J35" s="1">
        <v>45504</v>
      </c>
      <c r="K35">
        <v>6</v>
      </c>
      <c r="L35" t="s">
        <v>972</v>
      </c>
      <c r="M35" t="s">
        <v>986</v>
      </c>
      <c r="N35" t="s">
        <v>21</v>
      </c>
      <c r="O35">
        <v>2023</v>
      </c>
      <c r="P35" t="str">
        <f t="shared" si="2"/>
        <v>White</v>
      </c>
      <c r="Q35">
        <v>36.005368400000002</v>
      </c>
      <c r="R35">
        <v>-78.938201699999993</v>
      </c>
      <c r="S35" t="str">
        <f t="shared" si="0"/>
        <v/>
      </c>
    </row>
    <row r="36" spans="1:19">
      <c r="A36" t="s">
        <v>350</v>
      </c>
      <c r="B36" t="s">
        <v>49</v>
      </c>
      <c r="C36" t="s">
        <v>989</v>
      </c>
      <c r="D36" t="s">
        <v>894</v>
      </c>
      <c r="E36" t="str">
        <f t="shared" si="1"/>
        <v>Department of Surgery/SURG-Otolaryngology Head and Neck Surgery</v>
      </c>
      <c r="F36" t="s">
        <v>183</v>
      </c>
      <c r="G36" s="2" t="s">
        <v>866</v>
      </c>
      <c r="H36" t="s">
        <v>10</v>
      </c>
      <c r="I36" t="s">
        <v>21</v>
      </c>
      <c r="J36" s="1">
        <v>46196</v>
      </c>
      <c r="K36">
        <v>3</v>
      </c>
      <c r="L36" t="s">
        <v>972</v>
      </c>
      <c r="M36" t="s">
        <v>986</v>
      </c>
      <c r="N36" t="s">
        <v>21</v>
      </c>
      <c r="O36">
        <v>2023</v>
      </c>
      <c r="P36" t="str">
        <f t="shared" si="2"/>
        <v>White</v>
      </c>
      <c r="Q36">
        <v>36.005368400000002</v>
      </c>
      <c r="R36">
        <v>-78.938201699999993</v>
      </c>
      <c r="S36" t="str">
        <f t="shared" si="0"/>
        <v/>
      </c>
    </row>
    <row r="37" spans="1:19">
      <c r="A37" t="s">
        <v>564</v>
      </c>
      <c r="B37" t="s">
        <v>565</v>
      </c>
      <c r="C37" t="s">
        <v>988</v>
      </c>
      <c r="D37" t="s">
        <v>887</v>
      </c>
      <c r="E37" t="str">
        <f t="shared" si="1"/>
        <v>Department of Medicine/MED-Internal Medicine</v>
      </c>
      <c r="F37" t="s">
        <v>18</v>
      </c>
      <c r="G37" s="2" t="s">
        <v>866</v>
      </c>
      <c r="H37" t="s">
        <v>10</v>
      </c>
      <c r="I37" t="s">
        <v>21</v>
      </c>
      <c r="J37" s="1">
        <v>45466</v>
      </c>
      <c r="K37">
        <v>1</v>
      </c>
      <c r="L37" t="s">
        <v>972</v>
      </c>
      <c r="M37" t="s">
        <v>977</v>
      </c>
      <c r="N37" t="s">
        <v>21</v>
      </c>
      <c r="O37">
        <v>2023</v>
      </c>
      <c r="P37" t="str">
        <f t="shared" si="2"/>
        <v>White</v>
      </c>
      <c r="Q37">
        <v>39.745566599999997</v>
      </c>
      <c r="R37">
        <v>-104.8359873</v>
      </c>
      <c r="S37" t="str">
        <f t="shared" si="0"/>
        <v/>
      </c>
    </row>
    <row r="38" spans="1:19">
      <c r="A38" t="s">
        <v>514</v>
      </c>
      <c r="B38" t="s">
        <v>515</v>
      </c>
      <c r="C38" t="s">
        <v>996</v>
      </c>
      <c r="D38" t="s">
        <v>960</v>
      </c>
      <c r="E38" t="str">
        <f t="shared" si="1"/>
        <v>Department of Obstetrics &amp; Gynecology/OB/GYN-Obstetrics &amp; Gynecology</v>
      </c>
      <c r="F38" t="s">
        <v>18</v>
      </c>
      <c r="G38" s="2" t="s">
        <v>866</v>
      </c>
      <c r="H38" t="s">
        <v>10</v>
      </c>
      <c r="I38" t="s">
        <v>21</v>
      </c>
      <c r="J38" s="1">
        <v>46561</v>
      </c>
      <c r="K38">
        <v>1</v>
      </c>
      <c r="L38" t="s">
        <v>972</v>
      </c>
      <c r="M38" t="s">
        <v>983</v>
      </c>
      <c r="N38" t="s">
        <v>21</v>
      </c>
      <c r="O38">
        <v>2023</v>
      </c>
      <c r="P38" t="str">
        <f t="shared" si="2"/>
        <v>White</v>
      </c>
      <c r="Q38">
        <v>32.874409200000002</v>
      </c>
      <c r="R38">
        <v>-117.23611849678871</v>
      </c>
      <c r="S38" t="str">
        <f t="shared" si="0"/>
        <v/>
      </c>
    </row>
    <row r="39" spans="1:19">
      <c r="A39" t="s">
        <v>201</v>
      </c>
      <c r="B39" t="s">
        <v>202</v>
      </c>
      <c r="C39" t="s">
        <v>989</v>
      </c>
      <c r="D39" t="s">
        <v>889</v>
      </c>
      <c r="E39" t="str">
        <f t="shared" si="1"/>
        <v>Department of Surgery/SURG-Surgery</v>
      </c>
      <c r="F39" t="s">
        <v>24</v>
      </c>
      <c r="G39" t="s">
        <v>969</v>
      </c>
      <c r="H39" t="s">
        <v>15</v>
      </c>
      <c r="I39" t="s">
        <v>973</v>
      </c>
      <c r="J39" s="1">
        <v>46561</v>
      </c>
      <c r="K39">
        <v>2</v>
      </c>
      <c r="L39" t="s">
        <v>972</v>
      </c>
      <c r="M39" t="s">
        <v>986</v>
      </c>
      <c r="N39" t="s">
        <v>973</v>
      </c>
      <c r="O39">
        <v>2023</v>
      </c>
      <c r="P39" t="str">
        <f t="shared" si="2"/>
        <v>No response/undeclared</v>
      </c>
      <c r="Q39">
        <v>36.005368400000002</v>
      </c>
      <c r="R39">
        <v>-78.938201699999993</v>
      </c>
      <c r="S39" t="str">
        <f t="shared" si="0"/>
        <v/>
      </c>
    </row>
    <row r="40" spans="1:19">
      <c r="A40" t="s">
        <v>744</v>
      </c>
      <c r="B40" t="s">
        <v>331</v>
      </c>
      <c r="C40" t="s">
        <v>990</v>
      </c>
      <c r="D40" t="s">
        <v>886</v>
      </c>
      <c r="E40" t="str">
        <f t="shared" si="1"/>
        <v>Department of Anesthesia/ANES-Anesthesiology</v>
      </c>
      <c r="F40" t="s">
        <v>29</v>
      </c>
      <c r="G40" s="2" t="s">
        <v>866</v>
      </c>
      <c r="H40" t="s">
        <v>10</v>
      </c>
      <c r="I40" t="s">
        <v>11</v>
      </c>
      <c r="J40" s="1">
        <v>46203</v>
      </c>
      <c r="K40">
        <v>2</v>
      </c>
      <c r="L40" t="s">
        <v>972</v>
      </c>
      <c r="M40" t="s">
        <v>985</v>
      </c>
      <c r="N40" t="s">
        <v>11</v>
      </c>
      <c r="O40">
        <v>2023</v>
      </c>
      <c r="P40" t="str">
        <f t="shared" si="2"/>
        <v>Asian</v>
      </c>
      <c r="Q40">
        <v>37.4582762</v>
      </c>
      <c r="R40">
        <v>-122.1739822</v>
      </c>
      <c r="S40" t="str">
        <f t="shared" si="0"/>
        <v/>
      </c>
    </row>
    <row r="41" spans="1:19">
      <c r="A41" t="s">
        <v>701</v>
      </c>
      <c r="B41" t="s">
        <v>515</v>
      </c>
      <c r="C41" t="s">
        <v>997</v>
      </c>
      <c r="D41" t="s">
        <v>888</v>
      </c>
      <c r="E41" t="str">
        <f t="shared" si="1"/>
        <v>Department of Orthopedic Surgery/ORTHO-Orthopaedic Surgery</v>
      </c>
      <c r="F41" t="s">
        <v>183</v>
      </c>
      <c r="G41" s="2" t="s">
        <v>866</v>
      </c>
      <c r="H41" t="s">
        <v>10</v>
      </c>
      <c r="I41" t="s">
        <v>21</v>
      </c>
      <c r="J41" s="1">
        <v>46203</v>
      </c>
      <c r="K41">
        <v>3</v>
      </c>
      <c r="L41" t="s">
        <v>972</v>
      </c>
      <c r="M41" t="s">
        <v>983</v>
      </c>
      <c r="N41" t="s">
        <v>21</v>
      </c>
      <c r="O41">
        <v>2023</v>
      </c>
      <c r="P41" t="str">
        <f t="shared" si="2"/>
        <v>White</v>
      </c>
      <c r="Q41">
        <v>32.874409200000002</v>
      </c>
      <c r="R41">
        <v>-117.23611849678871</v>
      </c>
      <c r="S41" t="str">
        <f t="shared" si="0"/>
        <v/>
      </c>
    </row>
    <row r="42" spans="1:19">
      <c r="A42" t="s">
        <v>702</v>
      </c>
      <c r="B42" t="s">
        <v>689</v>
      </c>
      <c r="C42" t="s">
        <v>997</v>
      </c>
      <c r="D42" t="s">
        <v>888</v>
      </c>
      <c r="E42" t="str">
        <f t="shared" si="1"/>
        <v>Department of Orthopedic Surgery/ORTHO-Orthopaedic Surgery</v>
      </c>
      <c r="F42" t="s">
        <v>183</v>
      </c>
      <c r="G42" s="2" t="s">
        <v>866</v>
      </c>
      <c r="H42" t="s">
        <v>15</v>
      </c>
      <c r="I42" t="s">
        <v>21</v>
      </c>
      <c r="J42" s="1">
        <v>46203</v>
      </c>
      <c r="K42">
        <v>3</v>
      </c>
      <c r="L42" t="s">
        <v>972</v>
      </c>
      <c r="M42" t="s">
        <v>986</v>
      </c>
      <c r="N42" t="s">
        <v>21</v>
      </c>
      <c r="O42">
        <v>2023</v>
      </c>
      <c r="P42" t="str">
        <f t="shared" si="2"/>
        <v>White</v>
      </c>
      <c r="Q42">
        <v>36.005368400000002</v>
      </c>
      <c r="R42">
        <v>-78.938201699999993</v>
      </c>
      <c r="S42" t="str">
        <f t="shared" si="0"/>
        <v/>
      </c>
    </row>
    <row r="43" spans="1:19">
      <c r="A43" t="s">
        <v>732</v>
      </c>
      <c r="B43" t="s">
        <v>733</v>
      </c>
      <c r="C43" t="s">
        <v>994</v>
      </c>
      <c r="D43" t="s">
        <v>939</v>
      </c>
      <c r="E43" t="str">
        <f t="shared" si="1"/>
        <v>Department of Pathology/PATH-GYN Pathology</v>
      </c>
      <c r="F43" t="s">
        <v>9</v>
      </c>
      <c r="G43" s="2" t="s">
        <v>865</v>
      </c>
      <c r="H43" t="s">
        <v>10</v>
      </c>
      <c r="I43" t="s">
        <v>734</v>
      </c>
      <c r="J43" s="1">
        <v>45473</v>
      </c>
      <c r="K43">
        <v>6</v>
      </c>
      <c r="L43" t="s">
        <v>972</v>
      </c>
      <c r="M43" t="s">
        <v>986</v>
      </c>
      <c r="N43" t="s">
        <v>966</v>
      </c>
      <c r="O43">
        <v>2023</v>
      </c>
      <c r="P43" t="str">
        <f t="shared" si="2"/>
        <v>Native Hawaiian or Other Pacific Islander, White</v>
      </c>
      <c r="Q43">
        <v>36.005368400000002</v>
      </c>
      <c r="R43">
        <v>-78.938201699999993</v>
      </c>
      <c r="S43">
        <f t="shared" si="0"/>
        <v>1</v>
      </c>
    </row>
    <row r="44" spans="1:19">
      <c r="A44" t="s">
        <v>738</v>
      </c>
      <c r="B44" t="s">
        <v>739</v>
      </c>
      <c r="C44" t="s">
        <v>990</v>
      </c>
      <c r="D44" t="s">
        <v>886</v>
      </c>
      <c r="E44" t="str">
        <f t="shared" si="1"/>
        <v>Department of Anesthesia/ANES-Anesthesiology</v>
      </c>
      <c r="F44" t="s">
        <v>29</v>
      </c>
      <c r="G44" s="2" t="s">
        <v>866</v>
      </c>
      <c r="H44" t="s">
        <v>15</v>
      </c>
      <c r="I44" t="s">
        <v>11</v>
      </c>
      <c r="J44" s="1">
        <v>46203</v>
      </c>
      <c r="K44">
        <v>2</v>
      </c>
      <c r="L44" t="s">
        <v>972</v>
      </c>
      <c r="M44" t="s">
        <v>980</v>
      </c>
      <c r="N44" t="s">
        <v>11</v>
      </c>
      <c r="O44">
        <v>2023</v>
      </c>
      <c r="P44" t="str">
        <f t="shared" si="2"/>
        <v>Asian</v>
      </c>
      <c r="Q44">
        <v>34.064282899999988</v>
      </c>
      <c r="R44">
        <v>-118.44235620000001</v>
      </c>
      <c r="S44" t="str">
        <f t="shared" si="0"/>
        <v/>
      </c>
    </row>
    <row r="45" spans="1:19">
      <c r="A45" t="s">
        <v>241</v>
      </c>
      <c r="B45" t="s">
        <v>242</v>
      </c>
      <c r="C45" t="s">
        <v>988</v>
      </c>
      <c r="D45" t="s">
        <v>887</v>
      </c>
      <c r="E45" t="str">
        <f t="shared" si="1"/>
        <v>Department of Medicine/MED-Internal Medicine</v>
      </c>
      <c r="F45" t="s">
        <v>18</v>
      </c>
      <c r="G45" s="2" t="s">
        <v>866</v>
      </c>
      <c r="H45" t="s">
        <v>10</v>
      </c>
      <c r="I45" t="s">
        <v>11</v>
      </c>
      <c r="J45" s="1">
        <v>46196</v>
      </c>
      <c r="K45">
        <v>1</v>
      </c>
      <c r="L45" t="s">
        <v>972</v>
      </c>
      <c r="M45" t="s">
        <v>981</v>
      </c>
      <c r="N45" t="s">
        <v>11</v>
      </c>
      <c r="O45">
        <v>2023</v>
      </c>
      <c r="P45" t="str">
        <f t="shared" si="2"/>
        <v>Asian</v>
      </c>
      <c r="Q45">
        <v>42.336831850000003</v>
      </c>
      <c r="R45">
        <v>-71.103809211180575</v>
      </c>
      <c r="S45" t="str">
        <f t="shared" si="0"/>
        <v/>
      </c>
    </row>
    <row r="46" spans="1:19">
      <c r="A46" t="s">
        <v>581</v>
      </c>
      <c r="B46" t="s">
        <v>137</v>
      </c>
      <c r="C46" t="s">
        <v>990</v>
      </c>
      <c r="D46" t="s">
        <v>886</v>
      </c>
      <c r="E46" t="str">
        <f t="shared" si="1"/>
        <v>Department of Anesthesia/ANES-Anesthesiology</v>
      </c>
      <c r="F46" t="s">
        <v>74</v>
      </c>
      <c r="G46" s="2" t="s">
        <v>866</v>
      </c>
      <c r="H46" t="s">
        <v>15</v>
      </c>
      <c r="I46" t="s">
        <v>96</v>
      </c>
      <c r="J46" s="1">
        <v>45473</v>
      </c>
      <c r="K46">
        <v>4</v>
      </c>
      <c r="L46" t="s">
        <v>972</v>
      </c>
      <c r="M46" t="s">
        <v>980</v>
      </c>
      <c r="N46" t="s">
        <v>966</v>
      </c>
      <c r="O46">
        <v>2023</v>
      </c>
      <c r="P46" t="str">
        <f t="shared" si="2"/>
        <v>Black or African American</v>
      </c>
      <c r="Q46">
        <v>34.064282899999988</v>
      </c>
      <c r="R46">
        <v>-118.44235620000001</v>
      </c>
      <c r="S46">
        <f t="shared" si="0"/>
        <v>1</v>
      </c>
    </row>
    <row r="47" spans="1:19">
      <c r="A47" t="s">
        <v>109</v>
      </c>
      <c r="B47" t="s">
        <v>110</v>
      </c>
      <c r="C47" t="s">
        <v>997</v>
      </c>
      <c r="D47" t="s">
        <v>948</v>
      </c>
      <c r="E47" t="str">
        <f t="shared" si="1"/>
        <v>Department of Orthopedic Surgery/ORTHO-Orthopaedic Trauma</v>
      </c>
      <c r="F47" t="s">
        <v>9</v>
      </c>
      <c r="G47" t="s">
        <v>969</v>
      </c>
      <c r="H47" t="s">
        <v>10</v>
      </c>
      <c r="I47" t="s">
        <v>21</v>
      </c>
      <c r="J47" s="1">
        <v>45504</v>
      </c>
      <c r="K47">
        <v>6</v>
      </c>
      <c r="L47" t="s">
        <v>972</v>
      </c>
      <c r="M47" t="s">
        <v>986</v>
      </c>
      <c r="N47" t="s">
        <v>21</v>
      </c>
      <c r="O47">
        <v>2023</v>
      </c>
      <c r="P47" t="str">
        <f t="shared" si="2"/>
        <v>White</v>
      </c>
      <c r="Q47">
        <v>36.005368400000002</v>
      </c>
      <c r="R47">
        <v>-78.938201699999993</v>
      </c>
      <c r="S47" t="str">
        <f t="shared" si="0"/>
        <v/>
      </c>
    </row>
    <row r="48" spans="1:19">
      <c r="A48" t="s">
        <v>420</v>
      </c>
      <c r="B48" t="s">
        <v>421</v>
      </c>
      <c r="C48" t="s">
        <v>995</v>
      </c>
      <c r="D48" t="s">
        <v>918</v>
      </c>
      <c r="E48" t="str">
        <f t="shared" si="1"/>
        <v>Department of Neurosurgery/NEUROSURG-Neurological Surgery</v>
      </c>
      <c r="F48" t="s">
        <v>29</v>
      </c>
      <c r="G48" s="2" t="s">
        <v>866</v>
      </c>
      <c r="H48" t="s">
        <v>15</v>
      </c>
      <c r="I48" t="s">
        <v>96</v>
      </c>
      <c r="J48" s="1">
        <v>47292</v>
      </c>
      <c r="K48">
        <v>2</v>
      </c>
      <c r="L48" t="s">
        <v>972</v>
      </c>
      <c r="M48" t="s">
        <v>983</v>
      </c>
      <c r="N48" t="s">
        <v>966</v>
      </c>
      <c r="O48">
        <v>2023</v>
      </c>
      <c r="P48" t="str">
        <f t="shared" si="2"/>
        <v>Black or African American</v>
      </c>
      <c r="Q48">
        <v>32.874409200000002</v>
      </c>
      <c r="R48">
        <v>-117.23611849678871</v>
      </c>
      <c r="S48">
        <f t="shared" si="0"/>
        <v>1</v>
      </c>
    </row>
    <row r="49" spans="1:19">
      <c r="A49" t="s">
        <v>855</v>
      </c>
      <c r="B49" t="s">
        <v>856</v>
      </c>
      <c r="C49" t="s">
        <v>990</v>
      </c>
      <c r="D49" t="s">
        <v>920</v>
      </c>
      <c r="E49" t="str">
        <f t="shared" si="1"/>
        <v>Department of Anesthesia/ANES-Adult Cardiothoracic Anesthesiology</v>
      </c>
      <c r="F49" t="s">
        <v>9</v>
      </c>
      <c r="G49" s="2" t="s">
        <v>865</v>
      </c>
      <c r="H49" t="s">
        <v>10</v>
      </c>
      <c r="I49" t="s">
        <v>21</v>
      </c>
      <c r="J49" s="1">
        <v>45504</v>
      </c>
      <c r="K49">
        <v>5</v>
      </c>
      <c r="L49" t="s">
        <v>972</v>
      </c>
      <c r="M49" t="s">
        <v>985</v>
      </c>
      <c r="N49" t="s">
        <v>21</v>
      </c>
      <c r="O49">
        <v>2023</v>
      </c>
      <c r="P49" t="str">
        <f t="shared" si="2"/>
        <v>White</v>
      </c>
      <c r="Q49">
        <v>37.4582762</v>
      </c>
      <c r="R49">
        <v>-122.1739822</v>
      </c>
      <c r="S49" t="str">
        <f t="shared" si="0"/>
        <v/>
      </c>
    </row>
    <row r="50" spans="1:19">
      <c r="A50" t="s">
        <v>462</v>
      </c>
      <c r="B50" t="s">
        <v>463</v>
      </c>
      <c r="C50" t="s">
        <v>992</v>
      </c>
      <c r="D50" t="s">
        <v>915</v>
      </c>
      <c r="E50" t="str">
        <f t="shared" si="1"/>
        <v>Department of Cardiac Surgery/CARDSURG-Thoracic Surgery-Integrated</v>
      </c>
      <c r="F50" t="s">
        <v>18</v>
      </c>
      <c r="G50" s="2" t="s">
        <v>866</v>
      </c>
      <c r="H50" t="s">
        <v>15</v>
      </c>
      <c r="I50" t="s">
        <v>21</v>
      </c>
      <c r="J50" s="1">
        <v>47299</v>
      </c>
      <c r="K50">
        <v>1</v>
      </c>
      <c r="L50" t="s">
        <v>972</v>
      </c>
      <c r="M50" t="s">
        <v>984</v>
      </c>
      <c r="N50" t="s">
        <v>21</v>
      </c>
      <c r="O50">
        <v>2023</v>
      </c>
      <c r="P50" t="str">
        <f t="shared" si="2"/>
        <v>White</v>
      </c>
      <c r="Q50">
        <v>34.061138</v>
      </c>
      <c r="R50">
        <v>-118.2057365</v>
      </c>
      <c r="S50" t="str">
        <f t="shared" si="0"/>
        <v/>
      </c>
    </row>
    <row r="51" spans="1:19">
      <c r="A51" t="s">
        <v>665</v>
      </c>
      <c r="B51" t="s">
        <v>857</v>
      </c>
      <c r="C51" t="s">
        <v>990</v>
      </c>
      <c r="D51" t="s">
        <v>921</v>
      </c>
      <c r="E51" t="str">
        <f t="shared" si="1"/>
        <v>Department of Anesthesia/ANES-Obstetric Anesthesiology</v>
      </c>
      <c r="F51" t="s">
        <v>9</v>
      </c>
      <c r="G51" s="2" t="s">
        <v>865</v>
      </c>
      <c r="H51" t="s">
        <v>10</v>
      </c>
      <c r="I51" t="s">
        <v>21</v>
      </c>
      <c r="J51" s="1">
        <v>45504</v>
      </c>
      <c r="K51">
        <v>5</v>
      </c>
      <c r="L51" t="s">
        <v>972</v>
      </c>
      <c r="M51" t="s">
        <v>982</v>
      </c>
      <c r="N51" t="s">
        <v>21</v>
      </c>
      <c r="O51">
        <v>2023</v>
      </c>
      <c r="P51" t="str">
        <f t="shared" si="2"/>
        <v>White</v>
      </c>
      <c r="Q51">
        <v>40.841542800000013</v>
      </c>
      <c r="R51">
        <v>-73.94139229999999</v>
      </c>
      <c r="S51" t="str">
        <f t="shared" si="0"/>
        <v/>
      </c>
    </row>
    <row r="52" spans="1:19">
      <c r="A52" t="s">
        <v>665</v>
      </c>
      <c r="B52" t="s">
        <v>666</v>
      </c>
      <c r="C52" t="s">
        <v>991</v>
      </c>
      <c r="D52" t="s">
        <v>899</v>
      </c>
      <c r="E52" t="str">
        <f t="shared" si="1"/>
        <v>Department of Cardiology/CARD-Interventional Cardiology</v>
      </c>
      <c r="F52" t="s">
        <v>9</v>
      </c>
      <c r="G52" s="2" t="s">
        <v>865</v>
      </c>
      <c r="H52" t="s">
        <v>15</v>
      </c>
      <c r="I52" t="s">
        <v>21</v>
      </c>
      <c r="J52" s="1">
        <v>45473</v>
      </c>
      <c r="K52">
        <v>7</v>
      </c>
      <c r="L52" t="s">
        <v>972</v>
      </c>
      <c r="M52" t="s">
        <v>965</v>
      </c>
      <c r="N52" t="s">
        <v>21</v>
      </c>
      <c r="O52">
        <v>2023</v>
      </c>
      <c r="P52" t="str">
        <f t="shared" si="2"/>
        <v>White</v>
      </c>
      <c r="Q52">
        <v>40.347099999999998</v>
      </c>
      <c r="R52">
        <v>-74.661600000000007</v>
      </c>
      <c r="S52" t="str">
        <f t="shared" si="0"/>
        <v/>
      </c>
    </row>
    <row r="53" spans="1:19">
      <c r="A53" t="s">
        <v>500</v>
      </c>
      <c r="B53" t="s">
        <v>125</v>
      </c>
      <c r="C53" t="s">
        <v>990</v>
      </c>
      <c r="D53" t="s">
        <v>886</v>
      </c>
      <c r="E53" t="str">
        <f t="shared" si="1"/>
        <v>Department of Anesthesia/ANES-Anesthesiology</v>
      </c>
      <c r="F53" t="s">
        <v>18</v>
      </c>
      <c r="G53" s="2" t="s">
        <v>866</v>
      </c>
      <c r="H53" t="s">
        <v>15</v>
      </c>
      <c r="I53" t="s">
        <v>21</v>
      </c>
      <c r="J53" s="1">
        <v>46568</v>
      </c>
      <c r="K53">
        <v>1</v>
      </c>
      <c r="L53" t="s">
        <v>972</v>
      </c>
      <c r="M53" t="s">
        <v>965</v>
      </c>
      <c r="N53" t="s">
        <v>21</v>
      </c>
      <c r="O53">
        <v>2023</v>
      </c>
      <c r="P53" t="str">
        <f t="shared" si="2"/>
        <v>White</v>
      </c>
      <c r="Q53">
        <v>40.347099999999998</v>
      </c>
      <c r="R53">
        <v>-74.661600000000007</v>
      </c>
      <c r="S53" t="str">
        <f t="shared" si="0"/>
        <v/>
      </c>
    </row>
    <row r="54" spans="1:19">
      <c r="A54" t="s">
        <v>568</v>
      </c>
      <c r="B54" t="s">
        <v>220</v>
      </c>
      <c r="C54" t="s">
        <v>988</v>
      </c>
      <c r="D54" t="s">
        <v>887</v>
      </c>
      <c r="E54" t="str">
        <f t="shared" si="1"/>
        <v>Department of Medicine/MED-Internal Medicine</v>
      </c>
      <c r="F54" t="s">
        <v>18</v>
      </c>
      <c r="G54" s="2" t="s">
        <v>866</v>
      </c>
      <c r="H54" t="s">
        <v>15</v>
      </c>
      <c r="I54" t="s">
        <v>80</v>
      </c>
      <c r="J54" s="1">
        <v>46196</v>
      </c>
      <c r="K54">
        <v>1</v>
      </c>
      <c r="L54" t="s">
        <v>972</v>
      </c>
      <c r="M54" t="s">
        <v>977</v>
      </c>
      <c r="N54" t="s">
        <v>80</v>
      </c>
      <c r="O54">
        <v>2023</v>
      </c>
      <c r="P54" t="str">
        <f t="shared" si="2"/>
        <v>Other</v>
      </c>
      <c r="Q54">
        <v>39.745566599999997</v>
      </c>
      <c r="R54">
        <v>-104.8359873</v>
      </c>
      <c r="S54" t="str">
        <f t="shared" si="0"/>
        <v/>
      </c>
    </row>
    <row r="55" spans="1:19">
      <c r="A55" t="s">
        <v>662</v>
      </c>
      <c r="B55" t="s">
        <v>393</v>
      </c>
      <c r="C55" t="s">
        <v>997</v>
      </c>
      <c r="D55" t="s">
        <v>888</v>
      </c>
      <c r="E55" t="str">
        <f t="shared" si="1"/>
        <v>Department of Orthopedic Surgery/ORTHO-Orthopaedic Surgery</v>
      </c>
      <c r="F55" t="s">
        <v>225</v>
      </c>
      <c r="G55" s="2" t="s">
        <v>866</v>
      </c>
      <c r="H55" t="s">
        <v>15</v>
      </c>
      <c r="I55" t="s">
        <v>21</v>
      </c>
      <c r="J55" s="1">
        <v>45473</v>
      </c>
      <c r="K55">
        <v>5</v>
      </c>
      <c r="L55" t="s">
        <v>972</v>
      </c>
      <c r="M55" t="s">
        <v>986</v>
      </c>
      <c r="N55" t="s">
        <v>21</v>
      </c>
      <c r="O55">
        <v>2023</v>
      </c>
      <c r="P55" t="str">
        <f t="shared" si="2"/>
        <v>White</v>
      </c>
      <c r="Q55">
        <v>36.005368400000002</v>
      </c>
      <c r="R55">
        <v>-78.938201699999993</v>
      </c>
      <c r="S55" t="str">
        <f t="shared" si="0"/>
        <v/>
      </c>
    </row>
    <row r="56" spans="1:19">
      <c r="A56" t="s">
        <v>799</v>
      </c>
      <c r="B56" t="s">
        <v>232</v>
      </c>
      <c r="C56" t="s">
        <v>998</v>
      </c>
      <c r="D56" t="s">
        <v>895</v>
      </c>
      <c r="E56" t="str">
        <f t="shared" si="1"/>
        <v>Department of Radiation Oncology/RAD-Radiation Oncology</v>
      </c>
      <c r="F56" t="s">
        <v>18</v>
      </c>
      <c r="G56" s="2" t="s">
        <v>866</v>
      </c>
      <c r="H56" t="s">
        <v>15</v>
      </c>
      <c r="I56" t="s">
        <v>800</v>
      </c>
      <c r="J56" s="1">
        <v>46568</v>
      </c>
      <c r="K56">
        <v>2</v>
      </c>
      <c r="L56" t="s">
        <v>972</v>
      </c>
      <c r="M56" t="s">
        <v>986</v>
      </c>
      <c r="N56" t="s">
        <v>966</v>
      </c>
      <c r="O56">
        <v>2023</v>
      </c>
      <c r="P56" t="str">
        <f t="shared" si="2"/>
        <v>American Indian or Alaskan Native, White</v>
      </c>
      <c r="Q56">
        <v>36.005368400000002</v>
      </c>
      <c r="R56">
        <v>-78.938201699999993</v>
      </c>
      <c r="S56">
        <f t="shared" si="0"/>
        <v>1</v>
      </c>
    </row>
    <row r="57" spans="1:19">
      <c r="A57" t="s">
        <v>124</v>
      </c>
      <c r="B57" t="s">
        <v>125</v>
      </c>
      <c r="C57" t="s">
        <v>989</v>
      </c>
      <c r="D57" t="s">
        <v>953</v>
      </c>
      <c r="E57" t="str">
        <f t="shared" si="1"/>
        <v>Department of Surgery/SURG-Complex Reconstruction and Microsurgery</v>
      </c>
      <c r="F57" t="s">
        <v>9</v>
      </c>
      <c r="G57" t="s">
        <v>969</v>
      </c>
      <c r="H57" t="s">
        <v>15</v>
      </c>
      <c r="I57" t="s">
        <v>21</v>
      </c>
      <c r="J57" s="1">
        <v>45504</v>
      </c>
      <c r="K57">
        <v>7</v>
      </c>
      <c r="L57" t="s">
        <v>972</v>
      </c>
      <c r="M57" t="s">
        <v>986</v>
      </c>
      <c r="N57" t="s">
        <v>21</v>
      </c>
      <c r="O57">
        <v>2023</v>
      </c>
      <c r="P57" t="str">
        <f t="shared" si="2"/>
        <v>White</v>
      </c>
      <c r="Q57">
        <v>36.005368400000002</v>
      </c>
      <c r="R57">
        <v>-78.938201699999993</v>
      </c>
      <c r="S57" t="str">
        <f t="shared" si="0"/>
        <v/>
      </c>
    </row>
    <row r="58" spans="1:19">
      <c r="A58" t="s">
        <v>48</v>
      </c>
      <c r="B58" t="s">
        <v>367</v>
      </c>
      <c r="C58" t="s">
        <v>988</v>
      </c>
      <c r="D58" t="s">
        <v>887</v>
      </c>
      <c r="E58" t="str">
        <f t="shared" si="1"/>
        <v>Department of Medicine/MED-Internal Medicine</v>
      </c>
      <c r="F58" t="s">
        <v>183</v>
      </c>
      <c r="G58" s="2" t="s">
        <v>866</v>
      </c>
      <c r="H58" t="s">
        <v>15</v>
      </c>
      <c r="I58" t="s">
        <v>11</v>
      </c>
      <c r="J58" s="1">
        <v>45466</v>
      </c>
      <c r="K58">
        <v>3</v>
      </c>
      <c r="L58" t="s">
        <v>972</v>
      </c>
      <c r="M58" t="s">
        <v>983</v>
      </c>
      <c r="N58" t="s">
        <v>11</v>
      </c>
      <c r="O58">
        <v>2023</v>
      </c>
      <c r="P58" t="str">
        <f t="shared" si="2"/>
        <v>Asian</v>
      </c>
      <c r="Q58">
        <v>32.874409200000002</v>
      </c>
      <c r="R58">
        <v>-117.23611849678871</v>
      </c>
      <c r="S58" t="str">
        <f t="shared" si="0"/>
        <v/>
      </c>
    </row>
    <row r="59" spans="1:19">
      <c r="A59" t="s">
        <v>48</v>
      </c>
      <c r="B59" t="s">
        <v>49</v>
      </c>
      <c r="C59" t="s">
        <v>997</v>
      </c>
      <c r="D59" t="s">
        <v>888</v>
      </c>
      <c r="E59" t="str">
        <f t="shared" si="1"/>
        <v>Department of Orthopedic Surgery/ORTHO-Orthopaedic Surgery</v>
      </c>
      <c r="F59" t="s">
        <v>18</v>
      </c>
      <c r="G59" s="2" t="s">
        <v>866</v>
      </c>
      <c r="H59" t="s">
        <v>10</v>
      </c>
      <c r="I59" t="s">
        <v>11</v>
      </c>
      <c r="J59" s="1">
        <v>46934</v>
      </c>
      <c r="K59">
        <v>1</v>
      </c>
      <c r="L59" t="s">
        <v>972</v>
      </c>
      <c r="M59" t="s">
        <v>977</v>
      </c>
      <c r="N59" t="s">
        <v>11</v>
      </c>
      <c r="O59">
        <v>2023</v>
      </c>
      <c r="P59" t="str">
        <f t="shared" si="2"/>
        <v>Asian</v>
      </c>
      <c r="Q59">
        <v>39.745566599999997</v>
      </c>
      <c r="R59">
        <v>-104.8359873</v>
      </c>
      <c r="S59" t="str">
        <f t="shared" si="0"/>
        <v/>
      </c>
    </row>
    <row r="60" spans="1:19">
      <c r="A60" t="s">
        <v>254</v>
      </c>
      <c r="B60" t="s">
        <v>255</v>
      </c>
      <c r="C60" t="s">
        <v>995</v>
      </c>
      <c r="D60" t="s">
        <v>918</v>
      </c>
      <c r="E60" t="str">
        <f t="shared" si="1"/>
        <v>Department of Neurosurgery/NEUROSURG-Neurological Surgery</v>
      </c>
      <c r="F60" t="s">
        <v>74</v>
      </c>
      <c r="G60" s="2" t="s">
        <v>866</v>
      </c>
      <c r="H60" t="s">
        <v>15</v>
      </c>
      <c r="I60" t="s">
        <v>47</v>
      </c>
      <c r="J60" s="1">
        <v>46561</v>
      </c>
      <c r="K60">
        <v>4</v>
      </c>
      <c r="L60" t="s">
        <v>972</v>
      </c>
      <c r="M60" t="s">
        <v>983</v>
      </c>
      <c r="N60" t="s">
        <v>80</v>
      </c>
      <c r="O60">
        <v>2023</v>
      </c>
      <c r="P60" t="s">
        <v>80</v>
      </c>
      <c r="Q60">
        <v>32.874409200000002</v>
      </c>
      <c r="R60">
        <v>-117.23611849678871</v>
      </c>
      <c r="S60" t="str">
        <f t="shared" si="0"/>
        <v/>
      </c>
    </row>
    <row r="61" spans="1:19">
      <c r="A61" t="s">
        <v>263</v>
      </c>
      <c r="B61" t="s">
        <v>264</v>
      </c>
      <c r="C61" t="s">
        <v>996</v>
      </c>
      <c r="D61" t="s">
        <v>960</v>
      </c>
      <c r="E61" t="str">
        <f t="shared" si="1"/>
        <v>Department of Obstetrics &amp; Gynecology/OB/GYN-Obstetrics &amp; Gynecology</v>
      </c>
      <c r="F61" t="s">
        <v>74</v>
      </c>
      <c r="G61" s="2" t="s">
        <v>866</v>
      </c>
      <c r="H61" t="s">
        <v>10</v>
      </c>
      <c r="I61" t="s">
        <v>21</v>
      </c>
      <c r="J61" s="1">
        <v>45466</v>
      </c>
      <c r="K61">
        <v>4</v>
      </c>
      <c r="L61" t="s">
        <v>972</v>
      </c>
      <c r="M61" t="s">
        <v>983</v>
      </c>
      <c r="N61" t="s">
        <v>21</v>
      </c>
      <c r="O61">
        <v>2023</v>
      </c>
      <c r="P61" t="str">
        <f t="shared" si="2"/>
        <v>White</v>
      </c>
      <c r="Q61">
        <v>32.874409200000002</v>
      </c>
      <c r="R61">
        <v>-117.23611849678871</v>
      </c>
      <c r="S61" t="str">
        <f t="shared" si="0"/>
        <v/>
      </c>
    </row>
    <row r="62" spans="1:19">
      <c r="A62" t="s">
        <v>534</v>
      </c>
      <c r="B62" t="s">
        <v>118</v>
      </c>
      <c r="C62" t="s">
        <v>989</v>
      </c>
      <c r="D62" t="s">
        <v>930</v>
      </c>
      <c r="E62" t="str">
        <f t="shared" si="1"/>
        <v>Department of Surgery/SURG-Podiatric Surgery</v>
      </c>
      <c r="F62" t="s">
        <v>18</v>
      </c>
      <c r="G62" s="2" t="s">
        <v>80</v>
      </c>
      <c r="H62" t="s">
        <v>15</v>
      </c>
      <c r="I62" t="s">
        <v>535</v>
      </c>
      <c r="J62" s="1">
        <v>46203</v>
      </c>
      <c r="K62">
        <v>1</v>
      </c>
      <c r="L62" t="s">
        <v>972</v>
      </c>
      <c r="M62" t="s">
        <v>978</v>
      </c>
      <c r="N62" t="s">
        <v>966</v>
      </c>
      <c r="O62">
        <v>2023</v>
      </c>
      <c r="P62" t="str">
        <f>I62</f>
        <v>Hispanic or Latino, Other</v>
      </c>
      <c r="Q62">
        <v>33.793635299999998</v>
      </c>
      <c r="R62">
        <v>-84.322179556478247</v>
      </c>
      <c r="S62">
        <f t="shared" si="0"/>
        <v>1</v>
      </c>
    </row>
    <row r="63" spans="1:19">
      <c r="A63" t="s">
        <v>344</v>
      </c>
      <c r="B63" t="s">
        <v>345</v>
      </c>
      <c r="C63" t="s">
        <v>996</v>
      </c>
      <c r="D63" t="s">
        <v>960</v>
      </c>
      <c r="E63" t="str">
        <f t="shared" si="1"/>
        <v>Department of Obstetrics &amp; Gynecology/OB/GYN-Obstetrics &amp; Gynecology</v>
      </c>
      <c r="F63" t="s">
        <v>183</v>
      </c>
      <c r="G63" s="2" t="s">
        <v>866</v>
      </c>
      <c r="H63" t="s">
        <v>10</v>
      </c>
      <c r="I63" t="s">
        <v>21</v>
      </c>
      <c r="J63" s="1">
        <v>45831</v>
      </c>
      <c r="K63">
        <v>3</v>
      </c>
      <c r="L63" t="s">
        <v>972</v>
      </c>
      <c r="M63" t="s">
        <v>983</v>
      </c>
      <c r="N63" t="s">
        <v>21</v>
      </c>
      <c r="O63">
        <v>2023</v>
      </c>
      <c r="P63" t="str">
        <f t="shared" si="2"/>
        <v>White</v>
      </c>
      <c r="Q63">
        <v>32.874409200000002</v>
      </c>
      <c r="R63">
        <v>-117.23611849678871</v>
      </c>
      <c r="S63" t="str">
        <f t="shared" si="0"/>
        <v/>
      </c>
    </row>
    <row r="64" spans="1:19">
      <c r="A64" t="s">
        <v>76</v>
      </c>
      <c r="B64" t="s">
        <v>77</v>
      </c>
      <c r="C64" t="s">
        <v>999</v>
      </c>
      <c r="D64" t="s">
        <v>890</v>
      </c>
      <c r="E64" t="str">
        <f t="shared" si="1"/>
        <v>Department of Urology/URO-Urology</v>
      </c>
      <c r="F64" t="s">
        <v>74</v>
      </c>
      <c r="G64" s="2" t="s">
        <v>866</v>
      </c>
      <c r="H64" t="s">
        <v>10</v>
      </c>
      <c r="I64" t="s">
        <v>973</v>
      </c>
      <c r="J64" s="1">
        <v>45838</v>
      </c>
      <c r="K64">
        <v>4</v>
      </c>
      <c r="L64" t="s">
        <v>972</v>
      </c>
      <c r="M64" t="s">
        <v>979</v>
      </c>
      <c r="N64" t="s">
        <v>973</v>
      </c>
      <c r="O64">
        <v>2023</v>
      </c>
      <c r="P64" t="str">
        <f t="shared" si="2"/>
        <v>No response/undeclared</v>
      </c>
      <c r="Q64">
        <v>40.443128700000003</v>
      </c>
      <c r="R64">
        <v>-79.961324099999999</v>
      </c>
      <c r="S64" t="str">
        <f t="shared" si="0"/>
        <v/>
      </c>
    </row>
    <row r="65" spans="1:19">
      <c r="A65" t="s">
        <v>650</v>
      </c>
      <c r="B65" t="s">
        <v>651</v>
      </c>
      <c r="C65" t="s">
        <v>996</v>
      </c>
      <c r="D65" t="s">
        <v>957</v>
      </c>
      <c r="E65" t="str">
        <f t="shared" si="1"/>
        <v>Department of Obstetrics &amp; Gynecology/OB/GYN-Gynecologic Oncology</v>
      </c>
      <c r="F65" t="s">
        <v>14</v>
      </c>
      <c r="G65" s="2" t="s">
        <v>865</v>
      </c>
      <c r="H65" t="s">
        <v>10</v>
      </c>
      <c r="I65" t="s">
        <v>83</v>
      </c>
      <c r="J65" s="1">
        <v>45838</v>
      </c>
      <c r="K65">
        <v>6</v>
      </c>
      <c r="L65" t="s">
        <v>972</v>
      </c>
      <c r="M65" t="s">
        <v>983</v>
      </c>
      <c r="N65" t="s">
        <v>966</v>
      </c>
      <c r="O65">
        <v>2023</v>
      </c>
      <c r="P65" t="str">
        <f t="shared" si="2"/>
        <v>Hispanic or Latino</v>
      </c>
      <c r="Q65">
        <v>32.874409200000002</v>
      </c>
      <c r="R65">
        <v>-117.23611849678871</v>
      </c>
      <c r="S65">
        <f t="shared" si="0"/>
        <v>1</v>
      </c>
    </row>
    <row r="66" spans="1:19">
      <c r="A66" t="s">
        <v>320</v>
      </c>
      <c r="B66" t="s">
        <v>360</v>
      </c>
      <c r="C66" t="s">
        <v>988</v>
      </c>
      <c r="D66" t="s">
        <v>887</v>
      </c>
      <c r="E66" t="str">
        <f t="shared" si="1"/>
        <v>Department of Medicine/MED-Internal Medicine</v>
      </c>
      <c r="F66" t="s">
        <v>183</v>
      </c>
      <c r="G66" s="2" t="s">
        <v>866</v>
      </c>
      <c r="H66" t="s">
        <v>10</v>
      </c>
      <c r="I66" t="s">
        <v>11</v>
      </c>
      <c r="J66" s="1">
        <v>45466</v>
      </c>
      <c r="K66">
        <v>3</v>
      </c>
      <c r="L66" t="s">
        <v>972</v>
      </c>
      <c r="M66" t="s">
        <v>981</v>
      </c>
      <c r="N66" t="s">
        <v>11</v>
      </c>
      <c r="O66">
        <v>2023</v>
      </c>
      <c r="P66" t="str">
        <f t="shared" si="2"/>
        <v>Asian</v>
      </c>
      <c r="Q66">
        <v>42.336831850000003</v>
      </c>
      <c r="R66">
        <v>-71.103809211180575</v>
      </c>
      <c r="S66" t="str">
        <f t="shared" ref="S66:S129" si="3">IF(N66="URM",1,"")</f>
        <v/>
      </c>
    </row>
    <row r="67" spans="1:19">
      <c r="A67" t="s">
        <v>320</v>
      </c>
      <c r="B67" t="s">
        <v>237</v>
      </c>
      <c r="C67" t="s">
        <v>988</v>
      </c>
      <c r="D67" t="s">
        <v>887</v>
      </c>
      <c r="E67" t="str">
        <f t="shared" ref="E67:E130" si="4">C67&amp;"/"&amp;D67</f>
        <v>Department of Medicine/MED-Internal Medicine</v>
      </c>
      <c r="F67" t="s">
        <v>18</v>
      </c>
      <c r="G67" s="2" t="s">
        <v>866</v>
      </c>
      <c r="H67" t="s">
        <v>15</v>
      </c>
      <c r="I67" t="s">
        <v>11</v>
      </c>
      <c r="J67" s="1">
        <v>46196</v>
      </c>
      <c r="K67">
        <v>1</v>
      </c>
      <c r="L67" t="s">
        <v>972</v>
      </c>
      <c r="M67" t="s">
        <v>981</v>
      </c>
      <c r="N67" t="s">
        <v>11</v>
      </c>
      <c r="O67">
        <v>2023</v>
      </c>
      <c r="P67" t="str">
        <f t="shared" ref="P67:P130" si="5">I67</f>
        <v>Asian</v>
      </c>
      <c r="Q67">
        <v>42.336831850000003</v>
      </c>
      <c r="R67">
        <v>-71.103809211180575</v>
      </c>
      <c r="S67" t="str">
        <f t="shared" si="3"/>
        <v/>
      </c>
    </row>
    <row r="68" spans="1:19">
      <c r="A68" t="s">
        <v>315</v>
      </c>
      <c r="B68" t="s">
        <v>742</v>
      </c>
      <c r="C68" t="s">
        <v>990</v>
      </c>
      <c r="D68" t="s">
        <v>886</v>
      </c>
      <c r="E68" t="str">
        <f t="shared" si="4"/>
        <v>Department of Anesthesia/ANES-Anesthesiology</v>
      </c>
      <c r="F68" t="s">
        <v>29</v>
      </c>
      <c r="G68" s="2" t="s">
        <v>866</v>
      </c>
      <c r="H68" t="s">
        <v>15</v>
      </c>
      <c r="I68" t="s">
        <v>11</v>
      </c>
      <c r="J68" s="1">
        <v>46203</v>
      </c>
      <c r="K68">
        <v>2</v>
      </c>
      <c r="L68" t="s">
        <v>972</v>
      </c>
      <c r="M68" t="s">
        <v>980</v>
      </c>
      <c r="N68" t="s">
        <v>11</v>
      </c>
      <c r="O68">
        <v>2023</v>
      </c>
      <c r="P68" t="str">
        <f t="shared" si="5"/>
        <v>Asian</v>
      </c>
      <c r="Q68">
        <v>34.064282899999988</v>
      </c>
      <c r="R68">
        <v>-118.44235620000001</v>
      </c>
      <c r="S68" t="str">
        <f t="shared" si="3"/>
        <v/>
      </c>
    </row>
    <row r="69" spans="1:19">
      <c r="A69" t="s">
        <v>315</v>
      </c>
      <c r="B69" t="s">
        <v>470</v>
      </c>
      <c r="C69" t="s">
        <v>988</v>
      </c>
      <c r="D69" t="s">
        <v>887</v>
      </c>
      <c r="E69" t="str">
        <f t="shared" si="4"/>
        <v>Department of Medicine/MED-Internal Medicine</v>
      </c>
      <c r="F69" t="s">
        <v>29</v>
      </c>
      <c r="G69" s="2" t="s">
        <v>866</v>
      </c>
      <c r="H69" t="s">
        <v>10</v>
      </c>
      <c r="I69" t="s">
        <v>11</v>
      </c>
      <c r="J69" s="1">
        <v>45831</v>
      </c>
      <c r="K69">
        <v>2</v>
      </c>
      <c r="L69" t="s">
        <v>972</v>
      </c>
      <c r="M69" t="s">
        <v>978</v>
      </c>
      <c r="N69" t="s">
        <v>11</v>
      </c>
      <c r="O69">
        <v>2023</v>
      </c>
      <c r="P69" t="str">
        <f t="shared" si="5"/>
        <v>Asian</v>
      </c>
      <c r="Q69">
        <v>33.793635299999998</v>
      </c>
      <c r="R69">
        <v>-84.322179556478247</v>
      </c>
      <c r="S69" t="str">
        <f t="shared" si="3"/>
        <v/>
      </c>
    </row>
    <row r="70" spans="1:19">
      <c r="A70" t="s">
        <v>315</v>
      </c>
      <c r="B70" t="s">
        <v>288</v>
      </c>
      <c r="C70" t="s">
        <v>988</v>
      </c>
      <c r="D70" t="s">
        <v>956</v>
      </c>
      <c r="E70" t="str">
        <f t="shared" si="4"/>
        <v>Department of Medicine/MED-Pulmonary/Critical Care Medicine</v>
      </c>
      <c r="F70" t="s">
        <v>14</v>
      </c>
      <c r="G70" s="2" t="s">
        <v>865</v>
      </c>
      <c r="H70" t="s">
        <v>10</v>
      </c>
      <c r="I70" t="s">
        <v>11</v>
      </c>
      <c r="J70" s="1">
        <v>45838</v>
      </c>
      <c r="K70">
        <v>5</v>
      </c>
      <c r="L70" t="s">
        <v>972</v>
      </c>
      <c r="M70" t="s">
        <v>981</v>
      </c>
      <c r="N70" t="s">
        <v>11</v>
      </c>
      <c r="O70">
        <v>2023</v>
      </c>
      <c r="P70" t="str">
        <f t="shared" si="5"/>
        <v>Asian</v>
      </c>
      <c r="Q70">
        <v>42.336831850000003</v>
      </c>
      <c r="R70">
        <v>-71.103809211180575</v>
      </c>
      <c r="S70" t="str">
        <f t="shared" si="3"/>
        <v/>
      </c>
    </row>
    <row r="71" spans="1:19">
      <c r="A71" t="s">
        <v>315</v>
      </c>
      <c r="B71" t="s">
        <v>303</v>
      </c>
      <c r="C71" t="s">
        <v>995</v>
      </c>
      <c r="D71" t="s">
        <v>918</v>
      </c>
      <c r="E71" t="str">
        <f t="shared" si="4"/>
        <v>Department of Neurosurgery/NEUROSURG-Neurological Surgery</v>
      </c>
      <c r="F71" t="s">
        <v>316</v>
      </c>
      <c r="G71" s="2" t="s">
        <v>866</v>
      </c>
      <c r="H71" t="s">
        <v>15</v>
      </c>
      <c r="I71" t="s">
        <v>11</v>
      </c>
      <c r="J71" s="1">
        <v>45838</v>
      </c>
      <c r="K71">
        <v>6</v>
      </c>
      <c r="L71" t="s">
        <v>972</v>
      </c>
      <c r="M71" t="s">
        <v>983</v>
      </c>
      <c r="N71" t="s">
        <v>11</v>
      </c>
      <c r="O71">
        <v>2023</v>
      </c>
      <c r="P71" t="str">
        <f t="shared" si="5"/>
        <v>Asian</v>
      </c>
      <c r="Q71">
        <v>32.874409200000002</v>
      </c>
      <c r="R71">
        <v>-117.23611849678871</v>
      </c>
      <c r="S71" t="str">
        <f t="shared" si="3"/>
        <v/>
      </c>
    </row>
    <row r="72" spans="1:19">
      <c r="A72" t="s">
        <v>64</v>
      </c>
      <c r="B72" t="s">
        <v>485</v>
      </c>
      <c r="C72" t="s">
        <v>990</v>
      </c>
      <c r="D72" t="s">
        <v>886</v>
      </c>
      <c r="E72" t="str">
        <f t="shared" si="4"/>
        <v>Department of Anesthesia/ANES-Anesthesiology</v>
      </c>
      <c r="F72" t="s">
        <v>18</v>
      </c>
      <c r="G72" s="2" t="s">
        <v>866</v>
      </c>
      <c r="H72" t="s">
        <v>10</v>
      </c>
      <c r="I72" t="s">
        <v>11</v>
      </c>
      <c r="J72" s="1">
        <v>46568</v>
      </c>
      <c r="K72">
        <v>1</v>
      </c>
      <c r="L72" t="s">
        <v>972</v>
      </c>
      <c r="M72" t="s">
        <v>986</v>
      </c>
      <c r="N72" t="s">
        <v>11</v>
      </c>
      <c r="O72">
        <v>2023</v>
      </c>
      <c r="P72" t="str">
        <f t="shared" si="5"/>
        <v>Asian</v>
      </c>
      <c r="Q72">
        <v>36.005368400000002</v>
      </c>
      <c r="R72">
        <v>-78.938201699999993</v>
      </c>
      <c r="S72" t="str">
        <f t="shared" si="3"/>
        <v/>
      </c>
    </row>
    <row r="73" spans="1:19">
      <c r="A73" t="s">
        <v>64</v>
      </c>
      <c r="B73" t="s">
        <v>588</v>
      </c>
      <c r="C73" t="s">
        <v>990</v>
      </c>
      <c r="D73" t="s">
        <v>886</v>
      </c>
      <c r="E73" t="str">
        <f t="shared" si="4"/>
        <v>Department of Anesthesia/ANES-Anesthesiology</v>
      </c>
      <c r="F73" t="s">
        <v>74</v>
      </c>
      <c r="G73" s="2" t="s">
        <v>866</v>
      </c>
      <c r="H73" t="s">
        <v>10</v>
      </c>
      <c r="I73" t="s">
        <v>11</v>
      </c>
      <c r="J73" s="1">
        <v>45473</v>
      </c>
      <c r="K73">
        <v>4</v>
      </c>
      <c r="L73" t="s">
        <v>972</v>
      </c>
      <c r="M73" t="s">
        <v>981</v>
      </c>
      <c r="N73" t="s">
        <v>11</v>
      </c>
      <c r="O73">
        <v>2023</v>
      </c>
      <c r="P73" t="str">
        <f t="shared" si="5"/>
        <v>Asian</v>
      </c>
      <c r="Q73">
        <v>42.336831850000003</v>
      </c>
      <c r="R73">
        <v>-71.103809211180575</v>
      </c>
      <c r="S73" t="str">
        <f t="shared" si="3"/>
        <v/>
      </c>
    </row>
    <row r="74" spans="1:19">
      <c r="A74" t="s">
        <v>64</v>
      </c>
      <c r="B74" t="s">
        <v>626</v>
      </c>
      <c r="C74" t="s">
        <v>1000</v>
      </c>
      <c r="D74" t="s">
        <v>916</v>
      </c>
      <c r="E74" t="str">
        <f t="shared" si="4"/>
        <v>Department of Imaging/IMG-Diagnostic Radiology</v>
      </c>
      <c r="F74" t="s">
        <v>29</v>
      </c>
      <c r="G74" s="2" t="s">
        <v>866</v>
      </c>
      <c r="H74" t="s">
        <v>15</v>
      </c>
      <c r="I74" t="s">
        <v>11</v>
      </c>
      <c r="J74" s="1">
        <v>46203</v>
      </c>
      <c r="K74">
        <v>3</v>
      </c>
      <c r="L74" t="s">
        <v>972</v>
      </c>
      <c r="M74" t="s">
        <v>984</v>
      </c>
      <c r="N74" t="s">
        <v>11</v>
      </c>
      <c r="O74">
        <v>2023</v>
      </c>
      <c r="P74" t="str">
        <f t="shared" si="5"/>
        <v>Asian</v>
      </c>
      <c r="Q74">
        <v>34.061138</v>
      </c>
      <c r="R74">
        <v>-118.2057365</v>
      </c>
      <c r="S74" t="str">
        <f t="shared" si="3"/>
        <v/>
      </c>
    </row>
    <row r="75" spans="1:19">
      <c r="A75" t="s">
        <v>64</v>
      </c>
      <c r="B75" t="s">
        <v>65</v>
      </c>
      <c r="C75" t="s">
        <v>988</v>
      </c>
      <c r="D75" t="s">
        <v>904</v>
      </c>
      <c r="E75" t="str">
        <f t="shared" si="4"/>
        <v>Department of Medicine/MED-Hematology And Medical Oncology</v>
      </c>
      <c r="F75" t="s">
        <v>9</v>
      </c>
      <c r="G75" s="2" t="s">
        <v>865</v>
      </c>
      <c r="H75" t="s">
        <v>10</v>
      </c>
      <c r="I75" t="s">
        <v>11</v>
      </c>
      <c r="J75" s="1">
        <v>46203</v>
      </c>
      <c r="K75">
        <v>4</v>
      </c>
      <c r="L75" t="s">
        <v>972</v>
      </c>
      <c r="M75" t="s">
        <v>984</v>
      </c>
      <c r="N75" t="s">
        <v>11</v>
      </c>
      <c r="O75">
        <v>2023</v>
      </c>
      <c r="P75" t="str">
        <f t="shared" si="5"/>
        <v>Asian</v>
      </c>
      <c r="Q75">
        <v>34.061138</v>
      </c>
      <c r="R75">
        <v>-118.2057365</v>
      </c>
      <c r="S75" t="str">
        <f t="shared" si="3"/>
        <v/>
      </c>
    </row>
    <row r="76" spans="1:19">
      <c r="A76" t="s">
        <v>64</v>
      </c>
      <c r="B76" t="s">
        <v>643</v>
      </c>
      <c r="C76" t="s">
        <v>988</v>
      </c>
      <c r="D76" t="s">
        <v>904</v>
      </c>
      <c r="E76" t="str">
        <f t="shared" si="4"/>
        <v>Department of Medicine/MED-Hematology And Medical Oncology</v>
      </c>
      <c r="F76" t="s">
        <v>9</v>
      </c>
      <c r="G76" s="2" t="s">
        <v>865</v>
      </c>
      <c r="H76" t="s">
        <v>10</v>
      </c>
      <c r="I76" t="s">
        <v>11</v>
      </c>
      <c r="J76" s="1">
        <v>46203</v>
      </c>
      <c r="K76">
        <v>3</v>
      </c>
      <c r="L76" t="s">
        <v>972</v>
      </c>
      <c r="M76" t="s">
        <v>984</v>
      </c>
      <c r="N76" t="s">
        <v>11</v>
      </c>
      <c r="O76">
        <v>2023</v>
      </c>
      <c r="P76" t="str">
        <f t="shared" si="5"/>
        <v>Asian</v>
      </c>
      <c r="Q76">
        <v>34.061138</v>
      </c>
      <c r="R76">
        <v>-118.2057365</v>
      </c>
      <c r="S76" t="str">
        <f t="shared" si="3"/>
        <v/>
      </c>
    </row>
    <row r="77" spans="1:19">
      <c r="A77" t="s">
        <v>64</v>
      </c>
      <c r="B77" t="s">
        <v>422</v>
      </c>
      <c r="C77" t="s">
        <v>988</v>
      </c>
      <c r="D77" t="s">
        <v>887</v>
      </c>
      <c r="E77" t="str">
        <f t="shared" si="4"/>
        <v>Department of Medicine/MED-Internal Medicine</v>
      </c>
      <c r="F77" t="s">
        <v>183</v>
      </c>
      <c r="G77" s="2" t="s">
        <v>866</v>
      </c>
      <c r="H77" t="s">
        <v>10</v>
      </c>
      <c r="I77" t="s">
        <v>11</v>
      </c>
      <c r="J77" s="1">
        <v>45466</v>
      </c>
      <c r="K77">
        <v>3</v>
      </c>
      <c r="L77" t="s">
        <v>972</v>
      </c>
      <c r="M77" t="s">
        <v>985</v>
      </c>
      <c r="N77" t="s">
        <v>11</v>
      </c>
      <c r="O77">
        <v>2023</v>
      </c>
      <c r="P77" t="str">
        <f t="shared" si="5"/>
        <v>Asian</v>
      </c>
      <c r="Q77">
        <v>37.4582762</v>
      </c>
      <c r="R77">
        <v>-122.1739822</v>
      </c>
      <c r="S77" t="str">
        <f t="shared" si="3"/>
        <v/>
      </c>
    </row>
    <row r="78" spans="1:19">
      <c r="A78" t="s">
        <v>64</v>
      </c>
      <c r="B78" t="s">
        <v>252</v>
      </c>
      <c r="C78" t="s">
        <v>989</v>
      </c>
      <c r="D78" t="s">
        <v>889</v>
      </c>
      <c r="E78" t="str">
        <f t="shared" si="4"/>
        <v>Department of Surgery/SURG-Surgery</v>
      </c>
      <c r="F78" t="s">
        <v>24</v>
      </c>
      <c r="G78" t="s">
        <v>969</v>
      </c>
      <c r="H78" t="s">
        <v>10</v>
      </c>
      <c r="I78" t="s">
        <v>11</v>
      </c>
      <c r="J78" s="1">
        <v>46561</v>
      </c>
      <c r="K78">
        <v>2</v>
      </c>
      <c r="L78" t="s">
        <v>972</v>
      </c>
      <c r="M78" t="s">
        <v>985</v>
      </c>
      <c r="N78" t="s">
        <v>11</v>
      </c>
      <c r="O78">
        <v>2023</v>
      </c>
      <c r="P78" t="str">
        <f t="shared" si="5"/>
        <v>Asian</v>
      </c>
      <c r="Q78">
        <v>37.4582762</v>
      </c>
      <c r="R78">
        <v>-122.1739822</v>
      </c>
      <c r="S78" t="str">
        <f t="shared" si="3"/>
        <v/>
      </c>
    </row>
    <row r="79" spans="1:19">
      <c r="A79" t="s">
        <v>64</v>
      </c>
      <c r="B79" t="s">
        <v>288</v>
      </c>
      <c r="C79" t="s">
        <v>989</v>
      </c>
      <c r="D79" t="s">
        <v>889</v>
      </c>
      <c r="E79" t="str">
        <f t="shared" si="4"/>
        <v>Department of Surgery/SURG-Surgery</v>
      </c>
      <c r="F79" t="s">
        <v>225</v>
      </c>
      <c r="G79" s="2" t="s">
        <v>866</v>
      </c>
      <c r="H79" t="s">
        <v>10</v>
      </c>
      <c r="I79" t="s">
        <v>11</v>
      </c>
      <c r="J79" s="1">
        <v>45466</v>
      </c>
      <c r="K79">
        <v>5</v>
      </c>
      <c r="L79" t="s">
        <v>972</v>
      </c>
      <c r="M79" t="s">
        <v>979</v>
      </c>
      <c r="N79" t="s">
        <v>11</v>
      </c>
      <c r="O79">
        <v>2023</v>
      </c>
      <c r="P79" t="str">
        <f t="shared" si="5"/>
        <v>Asian</v>
      </c>
      <c r="Q79">
        <v>40.443128700000003</v>
      </c>
      <c r="R79">
        <v>-79.961324099999999</v>
      </c>
      <c r="S79" t="str">
        <f t="shared" si="3"/>
        <v/>
      </c>
    </row>
    <row r="80" spans="1:19">
      <c r="A80" t="s">
        <v>64</v>
      </c>
      <c r="B80" t="s">
        <v>230</v>
      </c>
      <c r="C80" t="s">
        <v>989</v>
      </c>
      <c r="D80" t="s">
        <v>889</v>
      </c>
      <c r="E80" t="str">
        <f t="shared" si="4"/>
        <v>Department of Surgery/SURG-Surgery</v>
      </c>
      <c r="F80" t="s">
        <v>74</v>
      </c>
      <c r="G80" s="2" t="s">
        <v>866</v>
      </c>
      <c r="H80" t="s">
        <v>15</v>
      </c>
      <c r="I80" t="s">
        <v>11</v>
      </c>
      <c r="J80" s="1">
        <v>45831</v>
      </c>
      <c r="K80">
        <v>4</v>
      </c>
      <c r="L80" t="s">
        <v>972</v>
      </c>
      <c r="M80" t="s">
        <v>979</v>
      </c>
      <c r="N80" t="s">
        <v>11</v>
      </c>
      <c r="O80">
        <v>2023</v>
      </c>
      <c r="P80" t="str">
        <f t="shared" si="5"/>
        <v>Asian</v>
      </c>
      <c r="Q80">
        <v>40.443128700000003</v>
      </c>
      <c r="R80">
        <v>-79.961324099999999</v>
      </c>
      <c r="S80" t="str">
        <f t="shared" si="3"/>
        <v/>
      </c>
    </row>
    <row r="81" spans="1:19">
      <c r="A81" t="s">
        <v>686</v>
      </c>
      <c r="B81" t="s">
        <v>687</v>
      </c>
      <c r="C81" t="s">
        <v>990</v>
      </c>
      <c r="D81" t="s">
        <v>886</v>
      </c>
      <c r="E81" t="str">
        <f t="shared" si="4"/>
        <v>Department of Anesthesia/ANES-Anesthesiology</v>
      </c>
      <c r="F81" t="s">
        <v>183</v>
      </c>
      <c r="G81" s="2" t="s">
        <v>866</v>
      </c>
      <c r="H81" t="s">
        <v>15</v>
      </c>
      <c r="I81" t="s">
        <v>11</v>
      </c>
      <c r="J81" s="1">
        <v>45838</v>
      </c>
      <c r="K81">
        <v>3</v>
      </c>
      <c r="L81" t="s">
        <v>972</v>
      </c>
      <c r="M81" t="s">
        <v>980</v>
      </c>
      <c r="N81" t="s">
        <v>11</v>
      </c>
      <c r="O81">
        <v>2023</v>
      </c>
      <c r="P81" t="str">
        <f t="shared" si="5"/>
        <v>Asian</v>
      </c>
      <c r="Q81">
        <v>34.064282899999988</v>
      </c>
      <c r="R81">
        <v>-118.44235620000001</v>
      </c>
      <c r="S81" t="str">
        <f t="shared" si="3"/>
        <v/>
      </c>
    </row>
    <row r="82" spans="1:19">
      <c r="A82" t="s">
        <v>582</v>
      </c>
      <c r="B82" t="s">
        <v>104</v>
      </c>
      <c r="C82" t="s">
        <v>990</v>
      </c>
      <c r="D82" t="s">
        <v>886</v>
      </c>
      <c r="E82" t="str">
        <f t="shared" si="4"/>
        <v>Department of Anesthesia/ANES-Anesthesiology</v>
      </c>
      <c r="F82" t="s">
        <v>74</v>
      </c>
      <c r="G82" s="2" t="s">
        <v>866</v>
      </c>
      <c r="H82" t="s">
        <v>15</v>
      </c>
      <c r="I82" t="s">
        <v>21</v>
      </c>
      <c r="J82" s="1">
        <v>45473</v>
      </c>
      <c r="K82">
        <v>4</v>
      </c>
      <c r="L82" t="s">
        <v>972</v>
      </c>
      <c r="M82" t="s">
        <v>965</v>
      </c>
      <c r="N82" t="s">
        <v>21</v>
      </c>
      <c r="O82">
        <v>2023</v>
      </c>
      <c r="P82" t="str">
        <f t="shared" si="5"/>
        <v>White</v>
      </c>
      <c r="Q82">
        <v>40.347099999999998</v>
      </c>
      <c r="R82">
        <v>-74.661600000000007</v>
      </c>
      <c r="S82" t="str">
        <f t="shared" si="3"/>
        <v/>
      </c>
    </row>
    <row r="83" spans="1:19">
      <c r="A83" t="s">
        <v>618</v>
      </c>
      <c r="B83" t="s">
        <v>619</v>
      </c>
      <c r="C83" t="s">
        <v>988</v>
      </c>
      <c r="D83" t="s">
        <v>956</v>
      </c>
      <c r="E83" t="str">
        <f t="shared" si="4"/>
        <v>Department of Medicine/MED-Pulmonary/Critical Care Medicine</v>
      </c>
      <c r="F83" t="s">
        <v>152</v>
      </c>
      <c r="G83" s="2" t="s">
        <v>865</v>
      </c>
      <c r="H83" t="s">
        <v>10</v>
      </c>
      <c r="I83" t="s">
        <v>11</v>
      </c>
      <c r="J83" s="1">
        <v>45473</v>
      </c>
      <c r="K83">
        <v>6</v>
      </c>
      <c r="L83" t="s">
        <v>972</v>
      </c>
      <c r="M83" t="s">
        <v>978</v>
      </c>
      <c r="N83" t="s">
        <v>11</v>
      </c>
      <c r="O83">
        <v>2023</v>
      </c>
      <c r="P83" t="str">
        <f t="shared" si="5"/>
        <v>Asian</v>
      </c>
      <c r="Q83">
        <v>33.793635299999998</v>
      </c>
      <c r="R83">
        <v>-84.322179556478247</v>
      </c>
      <c r="S83" t="str">
        <f t="shared" si="3"/>
        <v/>
      </c>
    </row>
    <row r="84" spans="1:19">
      <c r="A84" t="s">
        <v>249</v>
      </c>
      <c r="B84" t="s">
        <v>250</v>
      </c>
      <c r="C84" t="s">
        <v>989</v>
      </c>
      <c r="D84" t="s">
        <v>889</v>
      </c>
      <c r="E84" t="str">
        <f t="shared" si="4"/>
        <v>Department of Surgery/SURG-Surgery</v>
      </c>
      <c r="F84" t="s">
        <v>183</v>
      </c>
      <c r="G84" s="2" t="s">
        <v>866</v>
      </c>
      <c r="H84" t="s">
        <v>10</v>
      </c>
      <c r="I84" t="s">
        <v>251</v>
      </c>
      <c r="J84" s="1">
        <v>46196</v>
      </c>
      <c r="K84">
        <v>3</v>
      </c>
      <c r="L84" t="s">
        <v>972</v>
      </c>
      <c r="M84" t="s">
        <v>979</v>
      </c>
      <c r="N84" t="s">
        <v>966</v>
      </c>
      <c r="O84">
        <v>2023</v>
      </c>
      <c r="P84" t="str">
        <f t="shared" si="5"/>
        <v>Asian, Native Hawaiian or Other Pacific Islander, White</v>
      </c>
      <c r="Q84">
        <v>40.443128700000003</v>
      </c>
      <c r="R84">
        <v>-79.961324099999999</v>
      </c>
      <c r="S84">
        <f t="shared" si="3"/>
        <v>1</v>
      </c>
    </row>
    <row r="85" spans="1:19">
      <c r="A85" t="s">
        <v>16</v>
      </c>
      <c r="B85" t="s">
        <v>17</v>
      </c>
      <c r="C85" t="s">
        <v>988</v>
      </c>
      <c r="D85" t="s">
        <v>887</v>
      </c>
      <c r="E85" t="str">
        <f t="shared" si="4"/>
        <v>Department of Medicine/MED-Internal Medicine</v>
      </c>
      <c r="F85" t="s">
        <v>18</v>
      </c>
      <c r="G85" s="2" t="s">
        <v>866</v>
      </c>
      <c r="H85" t="s">
        <v>15</v>
      </c>
      <c r="I85" t="s">
        <v>11</v>
      </c>
      <c r="J85" s="1">
        <v>46196</v>
      </c>
      <c r="K85">
        <v>1</v>
      </c>
      <c r="L85" t="s">
        <v>972</v>
      </c>
      <c r="M85" t="s">
        <v>986</v>
      </c>
      <c r="N85" t="s">
        <v>11</v>
      </c>
      <c r="O85">
        <v>2023</v>
      </c>
      <c r="P85" t="str">
        <f t="shared" si="5"/>
        <v>Asian</v>
      </c>
      <c r="Q85">
        <v>36.005368400000002</v>
      </c>
      <c r="R85">
        <v>-78.938201699999993</v>
      </c>
      <c r="S85" t="str">
        <f t="shared" si="3"/>
        <v/>
      </c>
    </row>
    <row r="86" spans="1:19">
      <c r="A86" t="s">
        <v>16</v>
      </c>
      <c r="B86" t="s">
        <v>31</v>
      </c>
      <c r="C86" t="s">
        <v>998</v>
      </c>
      <c r="D86" t="s">
        <v>895</v>
      </c>
      <c r="E86" t="str">
        <f t="shared" si="4"/>
        <v>Department of Radiation Oncology/RAD-Radiation Oncology</v>
      </c>
      <c r="F86" t="s">
        <v>74</v>
      </c>
      <c r="G86" s="2" t="s">
        <v>866</v>
      </c>
      <c r="H86" t="s">
        <v>15</v>
      </c>
      <c r="I86" t="s">
        <v>11</v>
      </c>
      <c r="J86" s="1">
        <v>45473</v>
      </c>
      <c r="K86">
        <v>5</v>
      </c>
      <c r="L86" t="s">
        <v>972</v>
      </c>
      <c r="M86" t="s">
        <v>981</v>
      </c>
      <c r="N86" t="s">
        <v>11</v>
      </c>
      <c r="O86">
        <v>2023</v>
      </c>
      <c r="P86" t="str">
        <f t="shared" si="5"/>
        <v>Asian</v>
      </c>
      <c r="Q86">
        <v>42.336831850000003</v>
      </c>
      <c r="R86">
        <v>-71.103809211180575</v>
      </c>
      <c r="S86" t="str">
        <f t="shared" si="3"/>
        <v/>
      </c>
    </row>
    <row r="87" spans="1:19">
      <c r="A87" t="s">
        <v>86</v>
      </c>
      <c r="B87" t="s">
        <v>87</v>
      </c>
      <c r="C87" t="s">
        <v>991</v>
      </c>
      <c r="D87" t="s">
        <v>941</v>
      </c>
      <c r="E87" t="str">
        <f t="shared" si="4"/>
        <v>Department of Cardiology/CARD-Clinical Cardiac Electrophysiology</v>
      </c>
      <c r="F87" t="s">
        <v>9</v>
      </c>
      <c r="G87" s="2" t="s">
        <v>865</v>
      </c>
      <c r="H87" t="s">
        <v>15</v>
      </c>
      <c r="I87" t="s">
        <v>21</v>
      </c>
      <c r="J87" s="1">
        <v>45838</v>
      </c>
      <c r="K87">
        <v>7</v>
      </c>
      <c r="L87" t="s">
        <v>972</v>
      </c>
      <c r="M87" t="s">
        <v>982</v>
      </c>
      <c r="N87" t="s">
        <v>21</v>
      </c>
      <c r="O87">
        <v>2023</v>
      </c>
      <c r="P87" t="str">
        <f t="shared" si="5"/>
        <v>White</v>
      </c>
      <c r="Q87">
        <v>40.841542800000013</v>
      </c>
      <c r="R87">
        <v>-73.94139229999999</v>
      </c>
      <c r="S87" t="str">
        <f t="shared" si="3"/>
        <v/>
      </c>
    </row>
    <row r="88" spans="1:19">
      <c r="A88" t="s">
        <v>433</v>
      </c>
      <c r="B88" t="s">
        <v>434</v>
      </c>
      <c r="C88" t="s">
        <v>988</v>
      </c>
      <c r="D88" t="s">
        <v>887</v>
      </c>
      <c r="E88" t="str">
        <f t="shared" si="4"/>
        <v>Department of Medicine/MED-Internal Medicine</v>
      </c>
      <c r="F88" t="s">
        <v>29</v>
      </c>
      <c r="G88" s="2" t="s">
        <v>866</v>
      </c>
      <c r="H88" t="s">
        <v>10</v>
      </c>
      <c r="I88" t="s">
        <v>21</v>
      </c>
      <c r="J88" s="1">
        <v>45831</v>
      </c>
      <c r="K88">
        <v>2</v>
      </c>
      <c r="L88" t="s">
        <v>972</v>
      </c>
      <c r="M88" t="s">
        <v>977</v>
      </c>
      <c r="N88" t="s">
        <v>21</v>
      </c>
      <c r="O88">
        <v>2023</v>
      </c>
      <c r="P88" t="str">
        <f t="shared" si="5"/>
        <v>White</v>
      </c>
      <c r="Q88">
        <v>39.745566599999997</v>
      </c>
      <c r="R88">
        <v>-104.8359873</v>
      </c>
      <c r="S88" t="str">
        <f t="shared" si="3"/>
        <v/>
      </c>
    </row>
    <row r="89" spans="1:19">
      <c r="A89" t="s">
        <v>544</v>
      </c>
      <c r="B89" t="s">
        <v>545</v>
      </c>
      <c r="C89" t="s">
        <v>988</v>
      </c>
      <c r="D89" t="s">
        <v>887</v>
      </c>
      <c r="E89" t="str">
        <f t="shared" si="4"/>
        <v>Department of Medicine/MED-Internal Medicine</v>
      </c>
      <c r="F89" t="s">
        <v>18</v>
      </c>
      <c r="G89" s="2" t="s">
        <v>866</v>
      </c>
      <c r="H89" t="s">
        <v>15</v>
      </c>
      <c r="I89" t="s">
        <v>11</v>
      </c>
      <c r="J89" s="1">
        <v>46196</v>
      </c>
      <c r="K89">
        <v>1</v>
      </c>
      <c r="L89" t="s">
        <v>972</v>
      </c>
      <c r="M89" t="s">
        <v>981</v>
      </c>
      <c r="N89" t="s">
        <v>11</v>
      </c>
      <c r="O89">
        <v>2023</v>
      </c>
      <c r="P89" t="str">
        <f t="shared" si="5"/>
        <v>Asian</v>
      </c>
      <c r="Q89">
        <v>42.336831850000003</v>
      </c>
      <c r="R89">
        <v>-71.103809211180575</v>
      </c>
      <c r="S89" t="str">
        <f t="shared" si="3"/>
        <v/>
      </c>
    </row>
    <row r="90" spans="1:19">
      <c r="A90" t="s">
        <v>378</v>
      </c>
      <c r="B90" t="s">
        <v>379</v>
      </c>
      <c r="C90" t="s">
        <v>988</v>
      </c>
      <c r="D90" t="s">
        <v>887</v>
      </c>
      <c r="E90" t="str">
        <f t="shared" si="4"/>
        <v>Department of Medicine/MED-Internal Medicine</v>
      </c>
      <c r="F90" t="s">
        <v>183</v>
      </c>
      <c r="G90" s="2" t="s">
        <v>866</v>
      </c>
      <c r="H90" t="s">
        <v>15</v>
      </c>
      <c r="I90" t="s">
        <v>21</v>
      </c>
      <c r="J90" s="1">
        <v>45466</v>
      </c>
      <c r="K90">
        <v>3</v>
      </c>
      <c r="L90" t="s">
        <v>972</v>
      </c>
      <c r="M90" t="s">
        <v>978</v>
      </c>
      <c r="N90" t="s">
        <v>21</v>
      </c>
      <c r="O90">
        <v>2023</v>
      </c>
      <c r="P90" t="str">
        <f t="shared" si="5"/>
        <v>White</v>
      </c>
      <c r="Q90">
        <v>33.793635299999998</v>
      </c>
      <c r="R90">
        <v>-84.322179556478247</v>
      </c>
      <c r="S90" t="str">
        <f t="shared" si="3"/>
        <v/>
      </c>
    </row>
    <row r="91" spans="1:19">
      <c r="A91" t="s">
        <v>332</v>
      </c>
      <c r="B91" t="s">
        <v>333</v>
      </c>
      <c r="C91" t="s">
        <v>991</v>
      </c>
      <c r="D91" t="s">
        <v>941</v>
      </c>
      <c r="E91" t="str">
        <f t="shared" si="4"/>
        <v>Department of Cardiology/CARD-Clinical Cardiac Electrophysiology</v>
      </c>
      <c r="F91" t="s">
        <v>14</v>
      </c>
      <c r="G91" s="2" t="s">
        <v>865</v>
      </c>
      <c r="H91" t="s">
        <v>10</v>
      </c>
      <c r="I91" t="s">
        <v>21</v>
      </c>
      <c r="J91" s="1">
        <v>45473</v>
      </c>
      <c r="K91">
        <v>8</v>
      </c>
      <c r="L91" t="s">
        <v>972</v>
      </c>
      <c r="M91" t="s">
        <v>982</v>
      </c>
      <c r="N91" t="s">
        <v>21</v>
      </c>
      <c r="O91">
        <v>2023</v>
      </c>
      <c r="P91" t="str">
        <f t="shared" si="5"/>
        <v>White</v>
      </c>
      <c r="Q91">
        <v>40.841542800000013</v>
      </c>
      <c r="R91">
        <v>-73.94139229999999</v>
      </c>
      <c r="S91" t="str">
        <f t="shared" si="3"/>
        <v/>
      </c>
    </row>
    <row r="92" spans="1:19">
      <c r="A92" t="s">
        <v>313</v>
      </c>
      <c r="B92" t="s">
        <v>314</v>
      </c>
      <c r="C92" t="s">
        <v>989</v>
      </c>
      <c r="D92" t="s">
        <v>894</v>
      </c>
      <c r="E92" t="str">
        <f t="shared" si="4"/>
        <v>Department of Surgery/SURG-Otolaryngology Head and Neck Surgery</v>
      </c>
      <c r="F92" t="s">
        <v>18</v>
      </c>
      <c r="G92" s="2" t="s">
        <v>866</v>
      </c>
      <c r="H92" t="s">
        <v>15</v>
      </c>
      <c r="I92" t="s">
        <v>21</v>
      </c>
      <c r="J92" s="1">
        <v>46927</v>
      </c>
      <c r="K92">
        <v>1</v>
      </c>
      <c r="L92" t="s">
        <v>972</v>
      </c>
      <c r="M92" t="s">
        <v>986</v>
      </c>
      <c r="N92" t="s">
        <v>21</v>
      </c>
      <c r="O92">
        <v>2023</v>
      </c>
      <c r="P92" t="str">
        <f t="shared" si="5"/>
        <v>White</v>
      </c>
      <c r="Q92">
        <v>36.005368400000002</v>
      </c>
      <c r="R92">
        <v>-78.938201699999993</v>
      </c>
      <c r="S92" t="str">
        <f t="shared" si="3"/>
        <v/>
      </c>
    </row>
    <row r="93" spans="1:19">
      <c r="A93" t="s">
        <v>467</v>
      </c>
      <c r="B93" t="s">
        <v>106</v>
      </c>
      <c r="C93" t="s">
        <v>988</v>
      </c>
      <c r="D93" t="s">
        <v>887</v>
      </c>
      <c r="E93" t="str">
        <f t="shared" si="4"/>
        <v>Department of Medicine/MED-Internal Medicine</v>
      </c>
      <c r="F93" t="s">
        <v>29</v>
      </c>
      <c r="G93" s="2" t="s">
        <v>866</v>
      </c>
      <c r="H93" t="s">
        <v>15</v>
      </c>
      <c r="I93" t="s">
        <v>21</v>
      </c>
      <c r="J93" s="1">
        <v>45831</v>
      </c>
      <c r="K93">
        <v>2</v>
      </c>
      <c r="L93" t="s">
        <v>972</v>
      </c>
      <c r="M93" t="s">
        <v>978</v>
      </c>
      <c r="N93" t="s">
        <v>21</v>
      </c>
      <c r="O93">
        <v>2023</v>
      </c>
      <c r="P93" t="str">
        <f t="shared" si="5"/>
        <v>White</v>
      </c>
      <c r="Q93">
        <v>33.793635299999998</v>
      </c>
      <c r="R93">
        <v>-84.322179556478247</v>
      </c>
      <c r="S93" t="str">
        <f t="shared" si="3"/>
        <v/>
      </c>
    </row>
    <row r="94" spans="1:19">
      <c r="A94" t="s">
        <v>206</v>
      </c>
      <c r="B94" t="s">
        <v>207</v>
      </c>
      <c r="C94" t="s">
        <v>999</v>
      </c>
      <c r="D94" t="s">
        <v>890</v>
      </c>
      <c r="E94" t="str">
        <f t="shared" si="4"/>
        <v>Department of Urology/URO-Urology</v>
      </c>
      <c r="F94" t="s">
        <v>29</v>
      </c>
      <c r="G94" s="2" t="s">
        <v>866</v>
      </c>
      <c r="H94" t="s">
        <v>15</v>
      </c>
      <c r="I94" t="s">
        <v>80</v>
      </c>
      <c r="J94" s="1">
        <v>46568</v>
      </c>
      <c r="K94">
        <v>2</v>
      </c>
      <c r="L94" t="s">
        <v>972</v>
      </c>
      <c r="M94" t="s">
        <v>979</v>
      </c>
      <c r="N94" t="s">
        <v>80</v>
      </c>
      <c r="O94">
        <v>2023</v>
      </c>
      <c r="P94" t="str">
        <f t="shared" si="5"/>
        <v>Other</v>
      </c>
      <c r="Q94">
        <v>40.443128700000003</v>
      </c>
      <c r="R94">
        <v>-79.961324099999999</v>
      </c>
      <c r="S94" t="str">
        <f t="shared" si="3"/>
        <v/>
      </c>
    </row>
    <row r="95" spans="1:19">
      <c r="A95" t="s">
        <v>597</v>
      </c>
      <c r="B95" t="s">
        <v>598</v>
      </c>
      <c r="C95" t="s">
        <v>999</v>
      </c>
      <c r="D95" t="s">
        <v>890</v>
      </c>
      <c r="E95" t="str">
        <f t="shared" si="4"/>
        <v>Department of Urology/URO-Urology</v>
      </c>
      <c r="F95" t="s">
        <v>74</v>
      </c>
      <c r="G95" s="2" t="s">
        <v>866</v>
      </c>
      <c r="H95" t="s">
        <v>15</v>
      </c>
      <c r="I95" t="s">
        <v>75</v>
      </c>
      <c r="J95" s="1">
        <v>45838</v>
      </c>
      <c r="K95">
        <v>4</v>
      </c>
      <c r="L95" t="s">
        <v>972</v>
      </c>
      <c r="M95" t="s">
        <v>979</v>
      </c>
      <c r="N95" t="s">
        <v>966</v>
      </c>
      <c r="O95">
        <v>2023</v>
      </c>
      <c r="P95" t="str">
        <f t="shared" si="5"/>
        <v>Hispanic or Latino, White</v>
      </c>
      <c r="Q95">
        <v>40.443128700000003</v>
      </c>
      <c r="R95">
        <v>-79.961324099999999</v>
      </c>
      <c r="S95">
        <f t="shared" si="3"/>
        <v>1</v>
      </c>
    </row>
    <row r="96" spans="1:19">
      <c r="A96" t="s">
        <v>216</v>
      </c>
      <c r="B96" t="s">
        <v>217</v>
      </c>
      <c r="C96" t="s">
        <v>994</v>
      </c>
      <c r="D96" t="s">
        <v>945</v>
      </c>
      <c r="E96" t="str">
        <f t="shared" si="4"/>
        <v>Department of Pathology/PATH-Molecular Genetic</v>
      </c>
      <c r="F96" t="s">
        <v>9</v>
      </c>
      <c r="G96" s="2" t="s">
        <v>865</v>
      </c>
      <c r="H96" t="s">
        <v>15</v>
      </c>
      <c r="I96" t="s">
        <v>21</v>
      </c>
      <c r="J96" s="1">
        <v>45518</v>
      </c>
      <c r="K96">
        <v>5</v>
      </c>
      <c r="L96" t="s">
        <v>972</v>
      </c>
      <c r="M96" t="s">
        <v>986</v>
      </c>
      <c r="N96" t="s">
        <v>21</v>
      </c>
      <c r="O96">
        <v>2023</v>
      </c>
      <c r="P96" t="str">
        <f t="shared" si="5"/>
        <v>White</v>
      </c>
      <c r="Q96">
        <v>36.005368400000002</v>
      </c>
      <c r="R96">
        <v>-78.938201699999993</v>
      </c>
      <c r="S96" t="str">
        <f t="shared" si="3"/>
        <v/>
      </c>
    </row>
    <row r="97" spans="1:19">
      <c r="A97" t="s">
        <v>523</v>
      </c>
      <c r="B97" t="s">
        <v>244</v>
      </c>
      <c r="C97" t="s">
        <v>989</v>
      </c>
      <c r="D97" t="s">
        <v>889</v>
      </c>
      <c r="E97" t="str">
        <f t="shared" si="4"/>
        <v>Department of Surgery/SURG-Surgery</v>
      </c>
      <c r="F97" t="s">
        <v>18</v>
      </c>
      <c r="G97" s="2" t="s">
        <v>866</v>
      </c>
      <c r="H97" t="s">
        <v>10</v>
      </c>
      <c r="I97" t="s">
        <v>21</v>
      </c>
      <c r="J97" s="1">
        <v>46927</v>
      </c>
      <c r="K97">
        <v>1</v>
      </c>
      <c r="L97" t="s">
        <v>972</v>
      </c>
      <c r="M97" t="s">
        <v>979</v>
      </c>
      <c r="N97" t="s">
        <v>21</v>
      </c>
      <c r="O97">
        <v>2023</v>
      </c>
      <c r="P97" t="str">
        <f t="shared" si="5"/>
        <v>White</v>
      </c>
      <c r="Q97">
        <v>40.443128700000003</v>
      </c>
      <c r="R97">
        <v>-79.961324099999999</v>
      </c>
      <c r="S97" t="str">
        <f t="shared" si="3"/>
        <v/>
      </c>
    </row>
    <row r="98" spans="1:19">
      <c r="A98" t="s">
        <v>765</v>
      </c>
      <c r="B98" t="s">
        <v>766</v>
      </c>
      <c r="C98" t="s">
        <v>997</v>
      </c>
      <c r="D98" t="s">
        <v>888</v>
      </c>
      <c r="E98" t="str">
        <f t="shared" si="4"/>
        <v>Department of Orthopedic Surgery/ORTHO-Orthopaedic Surgery</v>
      </c>
      <c r="F98" t="s">
        <v>29</v>
      </c>
      <c r="G98" s="2" t="s">
        <v>866</v>
      </c>
      <c r="H98" t="s">
        <v>15</v>
      </c>
      <c r="I98" t="s">
        <v>96</v>
      </c>
      <c r="J98" s="1">
        <v>46568</v>
      </c>
      <c r="K98">
        <v>2</v>
      </c>
      <c r="L98" t="s">
        <v>972</v>
      </c>
      <c r="M98" t="s">
        <v>983</v>
      </c>
      <c r="N98" t="s">
        <v>966</v>
      </c>
      <c r="O98">
        <v>2023</v>
      </c>
      <c r="P98" t="str">
        <f t="shared" si="5"/>
        <v>Black or African American</v>
      </c>
      <c r="Q98">
        <v>32.874409200000002</v>
      </c>
      <c r="R98">
        <v>-117.23611849678871</v>
      </c>
      <c r="S98">
        <f t="shared" si="3"/>
        <v>1</v>
      </c>
    </row>
    <row r="99" spans="1:19">
      <c r="A99" t="s">
        <v>706</v>
      </c>
      <c r="B99" t="s">
        <v>707</v>
      </c>
      <c r="C99" t="s">
        <v>993</v>
      </c>
      <c r="D99" t="s">
        <v>917</v>
      </c>
      <c r="E99" t="str">
        <f t="shared" si="4"/>
        <v>Department of Neurology/NEURO-Neurology</v>
      </c>
      <c r="F99" t="s">
        <v>29</v>
      </c>
      <c r="G99" s="2" t="s">
        <v>866</v>
      </c>
      <c r="H99" t="s">
        <v>15</v>
      </c>
      <c r="I99" t="s">
        <v>21</v>
      </c>
      <c r="J99" s="1">
        <v>45838</v>
      </c>
      <c r="K99">
        <v>3</v>
      </c>
      <c r="L99" t="s">
        <v>972</v>
      </c>
      <c r="M99" t="s">
        <v>983</v>
      </c>
      <c r="N99" t="s">
        <v>21</v>
      </c>
      <c r="O99">
        <v>2023</v>
      </c>
      <c r="P99" t="str">
        <f t="shared" si="5"/>
        <v>White</v>
      </c>
      <c r="Q99">
        <v>32.874409200000002</v>
      </c>
      <c r="R99">
        <v>-117.23611849678871</v>
      </c>
      <c r="S99" t="str">
        <f t="shared" si="3"/>
        <v/>
      </c>
    </row>
    <row r="100" spans="1:19">
      <c r="A100" t="s">
        <v>589</v>
      </c>
      <c r="B100" t="s">
        <v>590</v>
      </c>
      <c r="C100" t="s">
        <v>990</v>
      </c>
      <c r="D100" t="s">
        <v>886</v>
      </c>
      <c r="E100" t="str">
        <f t="shared" si="4"/>
        <v>Department of Anesthesia/ANES-Anesthesiology</v>
      </c>
      <c r="F100" t="s">
        <v>74</v>
      </c>
      <c r="G100" s="2" t="s">
        <v>866</v>
      </c>
      <c r="H100" t="s">
        <v>15</v>
      </c>
      <c r="I100" t="s">
        <v>11</v>
      </c>
      <c r="J100" s="1">
        <v>45473</v>
      </c>
      <c r="K100">
        <v>4</v>
      </c>
      <c r="L100" t="s">
        <v>972</v>
      </c>
      <c r="M100" t="s">
        <v>980</v>
      </c>
      <c r="N100" t="s">
        <v>11</v>
      </c>
      <c r="O100">
        <v>2023</v>
      </c>
      <c r="P100" t="str">
        <f t="shared" si="5"/>
        <v>Asian</v>
      </c>
      <c r="Q100">
        <v>34.064282899999988</v>
      </c>
      <c r="R100">
        <v>-118.44235620000001</v>
      </c>
      <c r="S100" t="str">
        <f t="shared" si="3"/>
        <v/>
      </c>
    </row>
    <row r="101" spans="1:19">
      <c r="A101" t="s">
        <v>104</v>
      </c>
      <c r="B101" t="s">
        <v>278</v>
      </c>
      <c r="C101" t="s">
        <v>1000</v>
      </c>
      <c r="D101" t="s">
        <v>950</v>
      </c>
      <c r="E101" t="str">
        <f t="shared" si="4"/>
        <v>Department of Imaging/IMG-Musculoskeletal Radiology</v>
      </c>
      <c r="F101" t="s">
        <v>9</v>
      </c>
      <c r="G101" s="2" t="s">
        <v>865</v>
      </c>
      <c r="H101" t="s">
        <v>15</v>
      </c>
      <c r="I101" t="s">
        <v>21</v>
      </c>
      <c r="J101" s="1">
        <v>45473</v>
      </c>
      <c r="K101">
        <v>6</v>
      </c>
      <c r="L101" t="s">
        <v>972</v>
      </c>
      <c r="M101" t="s">
        <v>984</v>
      </c>
      <c r="N101" t="s">
        <v>21</v>
      </c>
      <c r="O101">
        <v>2023</v>
      </c>
      <c r="P101" t="str">
        <f t="shared" si="5"/>
        <v>White</v>
      </c>
      <c r="Q101">
        <v>34.061138</v>
      </c>
      <c r="R101">
        <v>-118.2057365</v>
      </c>
      <c r="S101" t="str">
        <f t="shared" si="3"/>
        <v/>
      </c>
    </row>
    <row r="102" spans="1:19">
      <c r="A102" t="s">
        <v>694</v>
      </c>
      <c r="B102" t="s">
        <v>118</v>
      </c>
      <c r="C102" t="s">
        <v>990</v>
      </c>
      <c r="D102" t="s">
        <v>886</v>
      </c>
      <c r="E102" t="str">
        <f t="shared" si="4"/>
        <v>Department of Anesthesia/ANES-Anesthesiology</v>
      </c>
      <c r="F102" t="s">
        <v>183</v>
      </c>
      <c r="G102" s="2" t="s">
        <v>866</v>
      </c>
      <c r="H102" t="s">
        <v>15</v>
      </c>
      <c r="I102" t="s">
        <v>21</v>
      </c>
      <c r="J102" s="1">
        <v>45838</v>
      </c>
      <c r="K102">
        <v>3</v>
      </c>
      <c r="L102" t="s">
        <v>972</v>
      </c>
      <c r="M102" t="s">
        <v>965</v>
      </c>
      <c r="N102" t="s">
        <v>21</v>
      </c>
      <c r="O102">
        <v>2023</v>
      </c>
      <c r="P102" t="str">
        <f t="shared" si="5"/>
        <v>White</v>
      </c>
      <c r="Q102">
        <v>40.347099999999998</v>
      </c>
      <c r="R102">
        <v>-74.661600000000007</v>
      </c>
      <c r="S102" t="str">
        <f t="shared" si="3"/>
        <v/>
      </c>
    </row>
    <row r="103" spans="1:19">
      <c r="A103" t="s">
        <v>12</v>
      </c>
      <c r="B103" t="s">
        <v>13</v>
      </c>
      <c r="C103" t="s">
        <v>988</v>
      </c>
      <c r="D103" t="s">
        <v>956</v>
      </c>
      <c r="E103" t="str">
        <f t="shared" si="4"/>
        <v>Department of Medicine/MED-Pulmonary/Critical Care Medicine</v>
      </c>
      <c r="F103" t="s">
        <v>14</v>
      </c>
      <c r="G103" s="2" t="s">
        <v>865</v>
      </c>
      <c r="H103" t="s">
        <v>15</v>
      </c>
      <c r="I103" t="s">
        <v>11</v>
      </c>
      <c r="J103" s="1">
        <v>45838</v>
      </c>
      <c r="K103">
        <v>5</v>
      </c>
      <c r="L103" t="s">
        <v>972</v>
      </c>
      <c r="M103" t="s">
        <v>978</v>
      </c>
      <c r="N103" t="s">
        <v>11</v>
      </c>
      <c r="O103">
        <v>2023</v>
      </c>
      <c r="P103" t="str">
        <f t="shared" si="5"/>
        <v>Asian</v>
      </c>
      <c r="Q103">
        <v>33.793635299999998</v>
      </c>
      <c r="R103">
        <v>-84.322179556478247</v>
      </c>
      <c r="S103" t="str">
        <f t="shared" si="3"/>
        <v/>
      </c>
    </row>
    <row r="104" spans="1:19">
      <c r="A104" t="s">
        <v>491</v>
      </c>
      <c r="B104" t="s">
        <v>106</v>
      </c>
      <c r="C104" t="s">
        <v>990</v>
      </c>
      <c r="D104" t="s">
        <v>886</v>
      </c>
      <c r="E104" t="str">
        <f t="shared" si="4"/>
        <v>Department of Anesthesia/ANES-Anesthesiology</v>
      </c>
      <c r="F104" t="s">
        <v>18</v>
      </c>
      <c r="G104" s="2" t="s">
        <v>866</v>
      </c>
      <c r="H104" t="s">
        <v>15</v>
      </c>
      <c r="I104" t="s">
        <v>80</v>
      </c>
      <c r="J104" s="1">
        <v>46568</v>
      </c>
      <c r="K104">
        <v>1</v>
      </c>
      <c r="L104" t="s">
        <v>972</v>
      </c>
      <c r="M104" t="s">
        <v>965</v>
      </c>
      <c r="N104" t="s">
        <v>80</v>
      </c>
      <c r="O104">
        <v>2023</v>
      </c>
      <c r="P104" t="str">
        <f t="shared" si="5"/>
        <v>Other</v>
      </c>
      <c r="Q104">
        <v>40.347099999999998</v>
      </c>
      <c r="R104">
        <v>-74.661600000000007</v>
      </c>
      <c r="S104" t="str">
        <f t="shared" si="3"/>
        <v/>
      </c>
    </row>
    <row r="105" spans="1:19">
      <c r="A105" t="s">
        <v>372</v>
      </c>
      <c r="B105" t="s">
        <v>193</v>
      </c>
      <c r="C105" t="s">
        <v>988</v>
      </c>
      <c r="D105" t="s">
        <v>887</v>
      </c>
      <c r="E105" t="str">
        <f t="shared" si="4"/>
        <v>Department of Medicine/MED-Internal Medicine</v>
      </c>
      <c r="F105" t="s">
        <v>183</v>
      </c>
      <c r="G105" s="2" t="s">
        <v>866</v>
      </c>
      <c r="H105" t="s">
        <v>15</v>
      </c>
      <c r="I105" t="s">
        <v>21</v>
      </c>
      <c r="J105" s="1">
        <v>45466</v>
      </c>
      <c r="K105">
        <v>3</v>
      </c>
      <c r="L105" t="s">
        <v>972</v>
      </c>
      <c r="M105" t="s">
        <v>978</v>
      </c>
      <c r="N105" t="s">
        <v>21</v>
      </c>
      <c r="O105">
        <v>2023</v>
      </c>
      <c r="P105" t="str">
        <f t="shared" si="5"/>
        <v>White</v>
      </c>
      <c r="Q105">
        <v>33.793635299999998</v>
      </c>
      <c r="R105">
        <v>-84.322179556478247</v>
      </c>
      <c r="S105" t="str">
        <f t="shared" si="3"/>
        <v/>
      </c>
    </row>
    <row r="106" spans="1:19">
      <c r="A106" t="s">
        <v>605</v>
      </c>
      <c r="B106" t="s">
        <v>606</v>
      </c>
      <c r="C106" t="s">
        <v>991</v>
      </c>
      <c r="D106" t="s">
        <v>898</v>
      </c>
      <c r="E106" t="str">
        <f t="shared" si="4"/>
        <v>Department of Cardiology/CARD-Cardiovascular Disease</v>
      </c>
      <c r="F106" t="s">
        <v>152</v>
      </c>
      <c r="G106" s="2" t="s">
        <v>865</v>
      </c>
      <c r="H106" t="s">
        <v>10</v>
      </c>
      <c r="I106" t="s">
        <v>11</v>
      </c>
      <c r="J106" s="1">
        <v>45473</v>
      </c>
      <c r="K106">
        <v>6</v>
      </c>
      <c r="L106" t="s">
        <v>972</v>
      </c>
      <c r="M106" t="s">
        <v>982</v>
      </c>
      <c r="N106" t="s">
        <v>11</v>
      </c>
      <c r="O106">
        <v>2023</v>
      </c>
      <c r="P106" t="str">
        <f t="shared" si="5"/>
        <v>Asian</v>
      </c>
      <c r="Q106">
        <v>40.841542800000013</v>
      </c>
      <c r="R106">
        <v>-73.94139229999999</v>
      </c>
      <c r="S106" t="str">
        <f t="shared" si="3"/>
        <v/>
      </c>
    </row>
    <row r="107" spans="1:19">
      <c r="A107" t="s">
        <v>381</v>
      </c>
      <c r="B107" t="s">
        <v>382</v>
      </c>
      <c r="C107" t="s">
        <v>988</v>
      </c>
      <c r="D107" t="s">
        <v>887</v>
      </c>
      <c r="E107" t="str">
        <f t="shared" si="4"/>
        <v>Department of Medicine/MED-Internal Medicine</v>
      </c>
      <c r="F107" t="s">
        <v>183</v>
      </c>
      <c r="G107" s="2" t="s">
        <v>866</v>
      </c>
      <c r="H107" t="s">
        <v>15</v>
      </c>
      <c r="I107" t="s">
        <v>11</v>
      </c>
      <c r="J107" s="1">
        <v>45466</v>
      </c>
      <c r="K107">
        <v>3</v>
      </c>
      <c r="L107" t="s">
        <v>972</v>
      </c>
      <c r="M107" t="s">
        <v>977</v>
      </c>
      <c r="N107" t="s">
        <v>11</v>
      </c>
      <c r="O107">
        <v>2023</v>
      </c>
      <c r="P107" t="str">
        <f t="shared" si="5"/>
        <v>Asian</v>
      </c>
      <c r="Q107">
        <v>39.745566599999997</v>
      </c>
      <c r="R107">
        <v>-104.8359873</v>
      </c>
      <c r="S107" t="str">
        <f t="shared" si="3"/>
        <v/>
      </c>
    </row>
    <row r="108" spans="1:19">
      <c r="A108" t="s">
        <v>542</v>
      </c>
      <c r="B108" t="s">
        <v>543</v>
      </c>
      <c r="C108" t="s">
        <v>988</v>
      </c>
      <c r="D108" t="s">
        <v>887</v>
      </c>
      <c r="E108" t="str">
        <f t="shared" si="4"/>
        <v>Department of Medicine/MED-Internal Medicine</v>
      </c>
      <c r="F108" t="s">
        <v>18</v>
      </c>
      <c r="G108" s="2" t="s">
        <v>866</v>
      </c>
      <c r="H108" t="s">
        <v>10</v>
      </c>
      <c r="I108" t="s">
        <v>11</v>
      </c>
      <c r="J108" s="1">
        <v>46196</v>
      </c>
      <c r="K108">
        <v>1</v>
      </c>
      <c r="L108" t="s">
        <v>972</v>
      </c>
      <c r="M108" t="s">
        <v>981</v>
      </c>
      <c r="N108" t="s">
        <v>11</v>
      </c>
      <c r="O108">
        <v>2023</v>
      </c>
      <c r="P108" t="str">
        <f t="shared" si="5"/>
        <v>Asian</v>
      </c>
      <c r="Q108">
        <v>42.336831850000003</v>
      </c>
      <c r="R108">
        <v>-71.103809211180575</v>
      </c>
      <c r="S108" t="str">
        <f t="shared" si="3"/>
        <v/>
      </c>
    </row>
    <row r="109" spans="1:19">
      <c r="A109" t="s">
        <v>699</v>
      </c>
      <c r="B109" t="s">
        <v>700</v>
      </c>
      <c r="C109" t="s">
        <v>990</v>
      </c>
      <c r="D109" t="s">
        <v>886</v>
      </c>
      <c r="E109" t="str">
        <f t="shared" si="4"/>
        <v>Department of Anesthesia/ANES-Anesthesiology</v>
      </c>
      <c r="F109" t="s">
        <v>183</v>
      </c>
      <c r="G109" s="2" t="s">
        <v>866</v>
      </c>
      <c r="H109" t="s">
        <v>10</v>
      </c>
      <c r="I109" t="s">
        <v>11</v>
      </c>
      <c r="J109" s="1">
        <v>45838</v>
      </c>
      <c r="K109">
        <v>3</v>
      </c>
      <c r="L109" t="s">
        <v>972</v>
      </c>
      <c r="M109" t="s">
        <v>985</v>
      </c>
      <c r="N109" t="s">
        <v>11</v>
      </c>
      <c r="O109">
        <v>2023</v>
      </c>
      <c r="P109" t="str">
        <f t="shared" si="5"/>
        <v>Asian</v>
      </c>
      <c r="Q109">
        <v>37.4582762</v>
      </c>
      <c r="R109">
        <v>-122.1739822</v>
      </c>
      <c r="S109" t="str">
        <f t="shared" si="3"/>
        <v/>
      </c>
    </row>
    <row r="110" spans="1:19">
      <c r="A110" t="s">
        <v>231</v>
      </c>
      <c r="B110" t="s">
        <v>232</v>
      </c>
      <c r="C110" t="s">
        <v>989</v>
      </c>
      <c r="D110" t="s">
        <v>889</v>
      </c>
      <c r="E110" t="str">
        <f t="shared" si="4"/>
        <v>Department of Surgery/SURG-Surgery</v>
      </c>
      <c r="F110" t="s">
        <v>74</v>
      </c>
      <c r="G110" s="2" t="s">
        <v>866</v>
      </c>
      <c r="H110" t="s">
        <v>15</v>
      </c>
      <c r="I110" t="s">
        <v>21</v>
      </c>
      <c r="J110" s="1">
        <v>45831</v>
      </c>
      <c r="K110">
        <v>4</v>
      </c>
      <c r="L110" t="s">
        <v>972</v>
      </c>
      <c r="M110" t="s">
        <v>979</v>
      </c>
      <c r="N110" t="s">
        <v>21</v>
      </c>
      <c r="O110">
        <v>2023</v>
      </c>
      <c r="P110" t="str">
        <f t="shared" si="5"/>
        <v>White</v>
      </c>
      <c r="Q110">
        <v>40.443128700000003</v>
      </c>
      <c r="R110">
        <v>-79.961324099999999</v>
      </c>
      <c r="S110" t="str">
        <f t="shared" si="3"/>
        <v/>
      </c>
    </row>
    <row r="111" spans="1:19">
      <c r="A111" t="s">
        <v>684</v>
      </c>
      <c r="B111" t="s">
        <v>685</v>
      </c>
      <c r="C111" t="s">
        <v>990</v>
      </c>
      <c r="D111" t="s">
        <v>886</v>
      </c>
      <c r="E111" t="str">
        <f t="shared" si="4"/>
        <v>Department of Anesthesia/ANES-Anesthesiology</v>
      </c>
      <c r="F111" t="s">
        <v>183</v>
      </c>
      <c r="G111" s="2" t="s">
        <v>866</v>
      </c>
      <c r="H111" t="s">
        <v>15</v>
      </c>
      <c r="I111" t="s">
        <v>21</v>
      </c>
      <c r="J111" s="1">
        <v>45838</v>
      </c>
      <c r="K111">
        <v>3</v>
      </c>
      <c r="L111" t="s">
        <v>972</v>
      </c>
      <c r="M111" t="s">
        <v>965</v>
      </c>
      <c r="N111" t="s">
        <v>21</v>
      </c>
      <c r="O111">
        <v>2023</v>
      </c>
      <c r="P111" t="str">
        <f t="shared" si="5"/>
        <v>White</v>
      </c>
      <c r="Q111">
        <v>40.347099999999998</v>
      </c>
      <c r="R111">
        <v>-74.661600000000007</v>
      </c>
      <c r="S111" t="str">
        <f t="shared" si="3"/>
        <v/>
      </c>
    </row>
    <row r="112" spans="1:19">
      <c r="A112" t="s">
        <v>346</v>
      </c>
      <c r="B112" t="s">
        <v>347</v>
      </c>
      <c r="C112" t="s">
        <v>996</v>
      </c>
      <c r="D112" t="s">
        <v>960</v>
      </c>
      <c r="E112" t="str">
        <f t="shared" si="4"/>
        <v>Department of Obstetrics &amp; Gynecology/OB/GYN-Obstetrics &amp; Gynecology</v>
      </c>
      <c r="F112" t="s">
        <v>183</v>
      </c>
      <c r="G112" s="2" t="s">
        <v>866</v>
      </c>
      <c r="H112" t="s">
        <v>15</v>
      </c>
      <c r="I112" t="s">
        <v>11</v>
      </c>
      <c r="J112" s="1">
        <v>45831</v>
      </c>
      <c r="K112">
        <v>3</v>
      </c>
      <c r="L112" t="s">
        <v>972</v>
      </c>
      <c r="M112" t="s">
        <v>983</v>
      </c>
      <c r="N112" t="s">
        <v>11</v>
      </c>
      <c r="O112">
        <v>2023</v>
      </c>
      <c r="P112" t="str">
        <f t="shared" si="5"/>
        <v>Asian</v>
      </c>
      <c r="Q112">
        <v>32.874409200000002</v>
      </c>
      <c r="R112">
        <v>-117.23611849678871</v>
      </c>
      <c r="S112" t="str">
        <f t="shared" si="3"/>
        <v/>
      </c>
    </row>
    <row r="113" spans="1:19">
      <c r="A113" t="s">
        <v>789</v>
      </c>
      <c r="B113" t="s">
        <v>790</v>
      </c>
      <c r="C113" t="s">
        <v>988</v>
      </c>
      <c r="D113" t="s">
        <v>956</v>
      </c>
      <c r="E113" t="str">
        <f t="shared" si="4"/>
        <v>Department of Medicine/MED-Pulmonary/Critical Care Medicine</v>
      </c>
      <c r="F113" t="s">
        <v>9</v>
      </c>
      <c r="G113" s="2" t="s">
        <v>865</v>
      </c>
      <c r="H113" t="s">
        <v>10</v>
      </c>
      <c r="I113" t="s">
        <v>21</v>
      </c>
      <c r="J113" s="1">
        <v>46203</v>
      </c>
      <c r="K113">
        <v>4</v>
      </c>
      <c r="L113" t="s">
        <v>972</v>
      </c>
      <c r="M113" t="s">
        <v>978</v>
      </c>
      <c r="N113" t="s">
        <v>21</v>
      </c>
      <c r="O113">
        <v>2023</v>
      </c>
      <c r="P113" t="str">
        <f t="shared" si="5"/>
        <v>White</v>
      </c>
      <c r="Q113">
        <v>33.793635299999998</v>
      </c>
      <c r="R113">
        <v>-84.322179556478247</v>
      </c>
      <c r="S113" t="str">
        <f t="shared" si="3"/>
        <v/>
      </c>
    </row>
    <row r="114" spans="1:19">
      <c r="A114" t="s">
        <v>759</v>
      </c>
      <c r="B114" t="s">
        <v>760</v>
      </c>
      <c r="C114" t="s">
        <v>992</v>
      </c>
      <c r="D114" t="s">
        <v>915</v>
      </c>
      <c r="E114" t="str">
        <f t="shared" si="4"/>
        <v>Department of Cardiac Surgery/CARDSURG-Thoracic Surgery-Integrated</v>
      </c>
      <c r="F114" t="s">
        <v>29</v>
      </c>
      <c r="G114" s="2" t="s">
        <v>866</v>
      </c>
      <c r="H114" t="s">
        <v>15</v>
      </c>
      <c r="I114" t="s">
        <v>11</v>
      </c>
      <c r="J114" s="1">
        <v>46934</v>
      </c>
      <c r="K114">
        <v>2</v>
      </c>
      <c r="L114" t="s">
        <v>972</v>
      </c>
      <c r="M114" t="s">
        <v>982</v>
      </c>
      <c r="N114" t="s">
        <v>11</v>
      </c>
      <c r="O114">
        <v>2023</v>
      </c>
      <c r="P114" t="str">
        <f t="shared" si="5"/>
        <v>Asian</v>
      </c>
      <c r="Q114">
        <v>40.841542800000013</v>
      </c>
      <c r="R114">
        <v>-73.94139229999999</v>
      </c>
      <c r="S114" t="str">
        <f t="shared" si="3"/>
        <v/>
      </c>
    </row>
    <row r="115" spans="1:19">
      <c r="A115" t="s">
        <v>36</v>
      </c>
      <c r="B115" t="s">
        <v>37</v>
      </c>
      <c r="C115" t="s">
        <v>989</v>
      </c>
      <c r="D115" t="s">
        <v>947</v>
      </c>
      <c r="E115" t="str">
        <f t="shared" si="4"/>
        <v>Department of Surgery/SURG-Surgical Oncology</v>
      </c>
      <c r="F115" t="s">
        <v>9</v>
      </c>
      <c r="G115" s="2" t="s">
        <v>865</v>
      </c>
      <c r="H115" t="s">
        <v>10</v>
      </c>
      <c r="I115" t="s">
        <v>21</v>
      </c>
      <c r="J115" s="1">
        <v>45869</v>
      </c>
      <c r="K115">
        <v>6</v>
      </c>
      <c r="L115" t="s">
        <v>972</v>
      </c>
      <c r="M115" t="s">
        <v>979</v>
      </c>
      <c r="N115" t="s">
        <v>21</v>
      </c>
      <c r="O115">
        <v>2023</v>
      </c>
      <c r="P115" t="str">
        <f t="shared" si="5"/>
        <v>White</v>
      </c>
      <c r="Q115">
        <v>40.443128700000003</v>
      </c>
      <c r="R115">
        <v>-79.961324099999999</v>
      </c>
      <c r="S115" t="str">
        <f t="shared" si="3"/>
        <v/>
      </c>
    </row>
    <row r="116" spans="1:19">
      <c r="A116" t="s">
        <v>121</v>
      </c>
      <c r="B116" t="s">
        <v>122</v>
      </c>
      <c r="C116" t="s">
        <v>988</v>
      </c>
      <c r="D116" t="s">
        <v>904</v>
      </c>
      <c r="E116" t="str">
        <f t="shared" si="4"/>
        <v>Department of Medicine/MED-Hematology And Medical Oncology</v>
      </c>
      <c r="F116" t="s">
        <v>14</v>
      </c>
      <c r="G116" s="2" t="s">
        <v>865</v>
      </c>
      <c r="H116" t="s">
        <v>15</v>
      </c>
      <c r="I116" t="s">
        <v>123</v>
      </c>
      <c r="J116" s="1">
        <v>45838</v>
      </c>
      <c r="K116">
        <v>5</v>
      </c>
      <c r="L116" t="s">
        <v>972</v>
      </c>
      <c r="M116" t="s">
        <v>981</v>
      </c>
      <c r="N116" t="s">
        <v>966</v>
      </c>
      <c r="O116">
        <v>2023</v>
      </c>
      <c r="P116" t="str">
        <f t="shared" si="5"/>
        <v>Asian, Native Hawaiian or Other Pacific Islander</v>
      </c>
      <c r="Q116">
        <v>42.336831850000003</v>
      </c>
      <c r="R116">
        <v>-71.103809211180575</v>
      </c>
      <c r="S116">
        <f t="shared" si="3"/>
        <v>1</v>
      </c>
    </row>
    <row r="117" spans="1:19">
      <c r="A117" t="s">
        <v>532</v>
      </c>
      <c r="B117" t="s">
        <v>533</v>
      </c>
      <c r="C117" t="s">
        <v>989</v>
      </c>
      <c r="D117" t="s">
        <v>930</v>
      </c>
      <c r="E117" t="str">
        <f t="shared" si="4"/>
        <v>Department of Surgery/SURG-Podiatric Surgery</v>
      </c>
      <c r="F117" t="s">
        <v>18</v>
      </c>
      <c r="G117" s="2" t="s">
        <v>80</v>
      </c>
      <c r="H117" t="s">
        <v>15</v>
      </c>
      <c r="I117" t="s">
        <v>21</v>
      </c>
      <c r="J117" s="1">
        <v>46203</v>
      </c>
      <c r="K117">
        <v>1</v>
      </c>
      <c r="L117" t="s">
        <v>972</v>
      </c>
      <c r="M117" t="s">
        <v>986</v>
      </c>
      <c r="N117" t="s">
        <v>21</v>
      </c>
      <c r="O117">
        <v>2023</v>
      </c>
      <c r="P117" t="str">
        <f t="shared" si="5"/>
        <v>White</v>
      </c>
      <c r="Q117">
        <v>36.005368400000002</v>
      </c>
      <c r="R117">
        <v>-78.938201699999993</v>
      </c>
      <c r="S117" t="str">
        <f t="shared" si="3"/>
        <v/>
      </c>
    </row>
    <row r="118" spans="1:19">
      <c r="A118" t="s">
        <v>148</v>
      </c>
      <c r="B118" t="s">
        <v>149</v>
      </c>
      <c r="C118" t="s">
        <v>996</v>
      </c>
      <c r="D118" t="s">
        <v>958</v>
      </c>
      <c r="E118" t="str">
        <f t="shared" si="4"/>
        <v>Department of Obstetrics &amp; Gynecology/OB/GYN-Maternal &amp; Fetal Medicine</v>
      </c>
      <c r="F118" t="s">
        <v>9</v>
      </c>
      <c r="G118" s="2" t="s">
        <v>865</v>
      </c>
      <c r="H118" t="s">
        <v>10</v>
      </c>
      <c r="I118" t="s">
        <v>21</v>
      </c>
      <c r="J118" s="1">
        <v>46234</v>
      </c>
      <c r="K118">
        <v>5</v>
      </c>
      <c r="L118" t="s">
        <v>972</v>
      </c>
      <c r="M118" t="s">
        <v>983</v>
      </c>
      <c r="N118" t="s">
        <v>21</v>
      </c>
      <c r="O118">
        <v>2023</v>
      </c>
      <c r="P118" t="str">
        <f t="shared" si="5"/>
        <v>White</v>
      </c>
      <c r="Q118">
        <v>32.874409200000002</v>
      </c>
      <c r="R118">
        <v>-117.23611849678871</v>
      </c>
      <c r="S118" t="str">
        <f t="shared" si="3"/>
        <v/>
      </c>
    </row>
    <row r="119" spans="1:19">
      <c r="A119" t="s">
        <v>410</v>
      </c>
      <c r="B119" t="s">
        <v>411</v>
      </c>
      <c r="C119" t="s">
        <v>996</v>
      </c>
      <c r="D119" t="s">
        <v>960</v>
      </c>
      <c r="E119" t="str">
        <f t="shared" si="4"/>
        <v>Department of Obstetrics &amp; Gynecology/OB/GYN-Obstetrics &amp; Gynecology</v>
      </c>
      <c r="F119" t="s">
        <v>29</v>
      </c>
      <c r="G119" s="2" t="s">
        <v>866</v>
      </c>
      <c r="H119" t="s">
        <v>10</v>
      </c>
      <c r="I119" t="s">
        <v>11</v>
      </c>
      <c r="J119" s="1">
        <v>46196</v>
      </c>
      <c r="K119">
        <v>2</v>
      </c>
      <c r="L119" t="s">
        <v>972</v>
      </c>
      <c r="M119" t="s">
        <v>983</v>
      </c>
      <c r="N119" t="s">
        <v>11</v>
      </c>
      <c r="O119">
        <v>2023</v>
      </c>
      <c r="P119" t="str">
        <f t="shared" si="5"/>
        <v>Asian</v>
      </c>
      <c r="Q119">
        <v>32.874409200000002</v>
      </c>
      <c r="R119">
        <v>-117.23611849678871</v>
      </c>
      <c r="S119" t="str">
        <f t="shared" si="3"/>
        <v/>
      </c>
    </row>
    <row r="120" spans="1:19">
      <c r="A120" t="s">
        <v>828</v>
      </c>
      <c r="B120" t="s">
        <v>829</v>
      </c>
      <c r="C120" t="s">
        <v>993</v>
      </c>
      <c r="D120" t="s">
        <v>906</v>
      </c>
      <c r="E120" t="str">
        <f t="shared" si="4"/>
        <v>Department of Neurology/NEURO-Neurologic Critical Care</v>
      </c>
      <c r="F120" t="s">
        <v>9</v>
      </c>
      <c r="G120" s="2" t="s">
        <v>865</v>
      </c>
      <c r="H120" t="s">
        <v>15</v>
      </c>
      <c r="I120" t="s">
        <v>11</v>
      </c>
      <c r="J120" s="1">
        <v>45838</v>
      </c>
      <c r="K120">
        <v>5</v>
      </c>
      <c r="L120" t="s">
        <v>972</v>
      </c>
      <c r="M120" t="s">
        <v>978</v>
      </c>
      <c r="N120" t="s">
        <v>11</v>
      </c>
      <c r="O120">
        <v>2023</v>
      </c>
      <c r="P120" t="str">
        <f t="shared" si="5"/>
        <v>Asian</v>
      </c>
      <c r="Q120">
        <v>33.793635299999998</v>
      </c>
      <c r="R120">
        <v>-84.322179556478247</v>
      </c>
      <c r="S120" t="str">
        <f t="shared" si="3"/>
        <v/>
      </c>
    </row>
    <row r="121" spans="1:19">
      <c r="A121" t="s">
        <v>725</v>
      </c>
      <c r="B121" t="s">
        <v>726</v>
      </c>
      <c r="C121" t="s">
        <v>988</v>
      </c>
      <c r="D121" t="s">
        <v>892</v>
      </c>
      <c r="E121" t="str">
        <f t="shared" si="4"/>
        <v>Department of Medicine/MED-Rheumatology</v>
      </c>
      <c r="F121" t="s">
        <v>14</v>
      </c>
      <c r="G121" s="2" t="s">
        <v>865</v>
      </c>
      <c r="H121" t="s">
        <v>15</v>
      </c>
      <c r="I121" t="s">
        <v>21</v>
      </c>
      <c r="J121" s="1">
        <v>45473</v>
      </c>
      <c r="K121">
        <v>5</v>
      </c>
      <c r="L121" t="s">
        <v>972</v>
      </c>
      <c r="M121" t="s">
        <v>978</v>
      </c>
      <c r="N121" t="s">
        <v>21</v>
      </c>
      <c r="O121">
        <v>2023</v>
      </c>
      <c r="P121" t="str">
        <f t="shared" si="5"/>
        <v>White</v>
      </c>
      <c r="Q121">
        <v>33.793635299999998</v>
      </c>
      <c r="R121">
        <v>-84.322179556478247</v>
      </c>
      <c r="S121" t="str">
        <f t="shared" si="3"/>
        <v/>
      </c>
    </row>
    <row r="122" spans="1:19">
      <c r="A122" t="s">
        <v>210</v>
      </c>
      <c r="B122" t="s">
        <v>211</v>
      </c>
      <c r="C122" t="s">
        <v>988</v>
      </c>
      <c r="D122" t="s">
        <v>887</v>
      </c>
      <c r="E122" t="str">
        <f t="shared" si="4"/>
        <v>Department of Medicine/MED-Internal Medicine</v>
      </c>
      <c r="F122" t="s">
        <v>168</v>
      </c>
      <c r="G122" t="s">
        <v>969</v>
      </c>
      <c r="H122" t="s">
        <v>10</v>
      </c>
      <c r="I122" t="s">
        <v>21</v>
      </c>
      <c r="J122" s="1" t="s">
        <v>40</v>
      </c>
      <c r="K122" t="s">
        <v>40</v>
      </c>
      <c r="L122" t="s">
        <v>972</v>
      </c>
      <c r="M122" t="s">
        <v>977</v>
      </c>
      <c r="N122" t="s">
        <v>21</v>
      </c>
      <c r="O122">
        <v>2023</v>
      </c>
      <c r="P122" t="str">
        <f t="shared" si="5"/>
        <v>White</v>
      </c>
      <c r="Q122">
        <v>39.745566599999997</v>
      </c>
      <c r="R122">
        <v>-104.8359873</v>
      </c>
      <c r="S122" t="str">
        <f t="shared" si="3"/>
        <v/>
      </c>
    </row>
    <row r="123" spans="1:19">
      <c r="A123" t="s">
        <v>38</v>
      </c>
      <c r="B123" t="s">
        <v>39</v>
      </c>
      <c r="C123" t="s">
        <v>989</v>
      </c>
      <c r="D123" t="s">
        <v>937</v>
      </c>
      <c r="E123" t="str">
        <f t="shared" si="4"/>
        <v>Department of Surgery/SURG-Transplantation</v>
      </c>
      <c r="F123" t="s">
        <v>14</v>
      </c>
      <c r="G123" t="s">
        <v>969</v>
      </c>
      <c r="H123" t="s">
        <v>15</v>
      </c>
      <c r="I123" t="s">
        <v>21</v>
      </c>
      <c r="J123" s="1">
        <v>45504</v>
      </c>
      <c r="K123">
        <v>7</v>
      </c>
      <c r="L123" t="s">
        <v>972</v>
      </c>
      <c r="M123" t="s">
        <v>979</v>
      </c>
      <c r="N123" t="s">
        <v>21</v>
      </c>
      <c r="O123">
        <v>2023</v>
      </c>
      <c r="P123" t="str">
        <f t="shared" si="5"/>
        <v>White</v>
      </c>
      <c r="Q123">
        <v>40.443128700000003</v>
      </c>
      <c r="R123">
        <v>-79.961324099999999</v>
      </c>
      <c r="S123" t="str">
        <f t="shared" si="3"/>
        <v/>
      </c>
    </row>
    <row r="124" spans="1:19">
      <c r="A124" t="s">
        <v>240</v>
      </c>
      <c r="B124" t="s">
        <v>26</v>
      </c>
      <c r="C124" t="s">
        <v>989</v>
      </c>
      <c r="D124" t="s">
        <v>889</v>
      </c>
      <c r="E124" t="str">
        <f t="shared" si="4"/>
        <v>Department of Surgery/SURG-Surgery</v>
      </c>
      <c r="F124" t="s">
        <v>74</v>
      </c>
      <c r="G124" s="2" t="s">
        <v>866</v>
      </c>
      <c r="H124" t="s">
        <v>10</v>
      </c>
      <c r="I124" t="s">
        <v>83</v>
      </c>
      <c r="J124" s="1">
        <v>45831</v>
      </c>
      <c r="K124">
        <v>4</v>
      </c>
      <c r="L124" t="s">
        <v>972</v>
      </c>
      <c r="M124" t="s">
        <v>979</v>
      </c>
      <c r="N124" t="s">
        <v>966</v>
      </c>
      <c r="O124">
        <v>2023</v>
      </c>
      <c r="P124" t="str">
        <f t="shared" si="5"/>
        <v>Hispanic or Latino</v>
      </c>
      <c r="Q124">
        <v>40.443128700000003</v>
      </c>
      <c r="R124">
        <v>-79.961324099999999</v>
      </c>
      <c r="S124">
        <f t="shared" si="3"/>
        <v>1</v>
      </c>
    </row>
    <row r="125" spans="1:19">
      <c r="A125" t="s">
        <v>84</v>
      </c>
      <c r="B125" t="s">
        <v>85</v>
      </c>
      <c r="C125" t="s">
        <v>997</v>
      </c>
      <c r="D125" t="s">
        <v>888</v>
      </c>
      <c r="E125" t="str">
        <f t="shared" si="4"/>
        <v>Department of Orthopedic Surgery/ORTHO-Orthopaedic Surgery</v>
      </c>
      <c r="F125" t="s">
        <v>74</v>
      </c>
      <c r="G125" s="2" t="s">
        <v>866</v>
      </c>
      <c r="H125" t="s">
        <v>15</v>
      </c>
      <c r="I125" t="s">
        <v>21</v>
      </c>
      <c r="J125" s="1">
        <v>45838</v>
      </c>
      <c r="K125">
        <v>4</v>
      </c>
      <c r="L125" t="s">
        <v>972</v>
      </c>
      <c r="M125" t="s">
        <v>986</v>
      </c>
      <c r="N125" t="s">
        <v>21</v>
      </c>
      <c r="O125">
        <v>2023</v>
      </c>
      <c r="P125" t="str">
        <f t="shared" si="5"/>
        <v>White</v>
      </c>
      <c r="Q125">
        <v>36.005368400000002</v>
      </c>
      <c r="R125">
        <v>-78.938201699999993</v>
      </c>
      <c r="S125" t="str">
        <f t="shared" si="3"/>
        <v/>
      </c>
    </row>
    <row r="126" spans="1:19">
      <c r="A126" t="s">
        <v>262</v>
      </c>
      <c r="B126" t="s">
        <v>125</v>
      </c>
      <c r="C126" t="s">
        <v>996</v>
      </c>
      <c r="D126" t="s">
        <v>960</v>
      </c>
      <c r="E126" t="str">
        <f t="shared" si="4"/>
        <v>Department of Obstetrics &amp; Gynecology/OB/GYN-Obstetrics &amp; Gynecology</v>
      </c>
      <c r="F126" t="s">
        <v>74</v>
      </c>
      <c r="G126" s="2" t="s">
        <v>866</v>
      </c>
      <c r="H126" t="s">
        <v>15</v>
      </c>
      <c r="I126" t="s">
        <v>75</v>
      </c>
      <c r="J126" s="1">
        <v>45466</v>
      </c>
      <c r="K126">
        <v>4</v>
      </c>
      <c r="L126" t="s">
        <v>972</v>
      </c>
      <c r="M126" t="s">
        <v>983</v>
      </c>
      <c r="N126" t="s">
        <v>966</v>
      </c>
      <c r="O126">
        <v>2023</v>
      </c>
      <c r="P126" t="str">
        <f t="shared" si="5"/>
        <v>Hispanic or Latino, White</v>
      </c>
      <c r="Q126">
        <v>32.874409200000002</v>
      </c>
      <c r="R126">
        <v>-117.23611849678871</v>
      </c>
      <c r="S126">
        <f t="shared" si="3"/>
        <v>1</v>
      </c>
    </row>
    <row r="127" spans="1:19">
      <c r="A127" t="s">
        <v>72</v>
      </c>
      <c r="B127" t="s">
        <v>73</v>
      </c>
      <c r="C127" t="s">
        <v>997</v>
      </c>
      <c r="D127" t="s">
        <v>888</v>
      </c>
      <c r="E127" t="str">
        <f t="shared" si="4"/>
        <v>Department of Orthopedic Surgery/ORTHO-Orthopaedic Surgery</v>
      </c>
      <c r="F127" t="s">
        <v>74</v>
      </c>
      <c r="G127" s="2" t="s">
        <v>866</v>
      </c>
      <c r="H127" t="s">
        <v>15</v>
      </c>
      <c r="I127" t="s">
        <v>75</v>
      </c>
      <c r="J127" s="1">
        <v>45838</v>
      </c>
      <c r="K127">
        <v>4</v>
      </c>
      <c r="L127" t="s">
        <v>972</v>
      </c>
      <c r="M127" t="s">
        <v>983</v>
      </c>
      <c r="N127" t="s">
        <v>966</v>
      </c>
      <c r="O127">
        <v>2023</v>
      </c>
      <c r="P127" t="str">
        <f t="shared" si="5"/>
        <v>Hispanic or Latino, White</v>
      </c>
      <c r="Q127">
        <v>32.874409200000002</v>
      </c>
      <c r="R127">
        <v>-117.23611849678871</v>
      </c>
      <c r="S127">
        <f t="shared" si="3"/>
        <v>1</v>
      </c>
    </row>
    <row r="128" spans="1:19">
      <c r="A128" t="s">
        <v>663</v>
      </c>
      <c r="B128" t="s">
        <v>220</v>
      </c>
      <c r="C128" t="s">
        <v>1000</v>
      </c>
      <c r="D128" t="s">
        <v>916</v>
      </c>
      <c r="E128" t="str">
        <f t="shared" si="4"/>
        <v>Department of Imaging/IMG-Diagnostic Radiology</v>
      </c>
      <c r="F128" t="s">
        <v>74</v>
      </c>
      <c r="G128" s="2" t="s">
        <v>866</v>
      </c>
      <c r="H128" t="s">
        <v>15</v>
      </c>
      <c r="I128" t="s">
        <v>21</v>
      </c>
      <c r="J128" s="1">
        <v>45473</v>
      </c>
      <c r="K128">
        <v>5</v>
      </c>
      <c r="L128" t="s">
        <v>972</v>
      </c>
      <c r="M128" t="s">
        <v>984</v>
      </c>
      <c r="N128" t="s">
        <v>21</v>
      </c>
      <c r="O128">
        <v>2023</v>
      </c>
      <c r="P128" t="str">
        <f t="shared" si="5"/>
        <v>White</v>
      </c>
      <c r="Q128">
        <v>34.061138</v>
      </c>
      <c r="R128">
        <v>-118.2057365</v>
      </c>
      <c r="S128" t="str">
        <f t="shared" si="3"/>
        <v/>
      </c>
    </row>
    <row r="129" spans="1:19">
      <c r="A129" t="s">
        <v>105</v>
      </c>
      <c r="B129" t="s">
        <v>106</v>
      </c>
      <c r="C129" t="s">
        <v>997</v>
      </c>
      <c r="D129" t="s">
        <v>952</v>
      </c>
      <c r="E129" t="str">
        <f t="shared" si="4"/>
        <v>Department of Orthopedic Surgery/ORTHO-Ortho Joint Reconstruction</v>
      </c>
      <c r="F129" t="s">
        <v>9</v>
      </c>
      <c r="G129" t="s">
        <v>969</v>
      </c>
      <c r="H129" t="s">
        <v>15</v>
      </c>
      <c r="I129" t="s">
        <v>21</v>
      </c>
      <c r="J129" s="1">
        <v>45504</v>
      </c>
      <c r="K129">
        <v>6</v>
      </c>
      <c r="L129" t="s">
        <v>972</v>
      </c>
      <c r="M129" t="s">
        <v>983</v>
      </c>
      <c r="N129" t="s">
        <v>21</v>
      </c>
      <c r="O129">
        <v>2023</v>
      </c>
      <c r="P129" t="str">
        <f t="shared" si="5"/>
        <v>White</v>
      </c>
      <c r="Q129">
        <v>32.874409200000002</v>
      </c>
      <c r="R129">
        <v>-117.23611849678871</v>
      </c>
      <c r="S129" t="str">
        <f t="shared" si="3"/>
        <v/>
      </c>
    </row>
    <row r="130" spans="1:19">
      <c r="A130" t="s">
        <v>159</v>
      </c>
      <c r="B130" t="s">
        <v>160</v>
      </c>
      <c r="C130" t="s">
        <v>996</v>
      </c>
      <c r="D130" t="s">
        <v>960</v>
      </c>
      <c r="E130" t="str">
        <f t="shared" si="4"/>
        <v>Department of Obstetrics &amp; Gynecology/OB/GYN-Obstetrics &amp; Gynecology</v>
      </c>
      <c r="F130" t="s">
        <v>18</v>
      </c>
      <c r="G130" s="2" t="s">
        <v>866</v>
      </c>
      <c r="H130" t="s">
        <v>10</v>
      </c>
      <c r="I130" t="s">
        <v>75</v>
      </c>
      <c r="J130" s="1">
        <v>46561</v>
      </c>
      <c r="K130">
        <v>1</v>
      </c>
      <c r="L130" t="s">
        <v>972</v>
      </c>
      <c r="M130" t="s">
        <v>983</v>
      </c>
      <c r="N130" t="s">
        <v>966</v>
      </c>
      <c r="O130">
        <v>2023</v>
      </c>
      <c r="P130" t="str">
        <f t="shared" si="5"/>
        <v>Hispanic or Latino, White</v>
      </c>
      <c r="Q130">
        <v>32.874409200000002</v>
      </c>
      <c r="R130">
        <v>-117.23611849678871</v>
      </c>
      <c r="S130">
        <f t="shared" ref="S130:S193" si="6">IF(N130="URM",1,"")</f>
        <v>1</v>
      </c>
    </row>
    <row r="131" spans="1:19">
      <c r="A131" t="s">
        <v>674</v>
      </c>
      <c r="B131" t="s">
        <v>193</v>
      </c>
      <c r="C131" t="s">
        <v>993</v>
      </c>
      <c r="D131" t="s">
        <v>917</v>
      </c>
      <c r="E131" t="str">
        <f t="shared" ref="E131:E194" si="7">C131&amp;"/"&amp;D131</f>
        <v>Department of Neurology/NEURO-Neurology</v>
      </c>
      <c r="F131" t="s">
        <v>183</v>
      </c>
      <c r="G131" s="2" t="s">
        <v>866</v>
      </c>
      <c r="H131" t="s">
        <v>15</v>
      </c>
      <c r="I131" t="s">
        <v>163</v>
      </c>
      <c r="J131" s="1">
        <v>45473</v>
      </c>
      <c r="K131">
        <v>4</v>
      </c>
      <c r="L131" t="s">
        <v>972</v>
      </c>
      <c r="M131" t="s">
        <v>978</v>
      </c>
      <c r="N131" t="s">
        <v>11</v>
      </c>
      <c r="O131">
        <v>2023</v>
      </c>
      <c r="P131" t="s">
        <v>11</v>
      </c>
      <c r="Q131">
        <v>33.793635299999998</v>
      </c>
      <c r="R131">
        <v>-84.322179556478247</v>
      </c>
      <c r="S131" t="str">
        <f t="shared" si="6"/>
        <v/>
      </c>
    </row>
    <row r="132" spans="1:19">
      <c r="A132" t="s">
        <v>654</v>
      </c>
      <c r="B132" t="s">
        <v>655</v>
      </c>
      <c r="C132" t="s">
        <v>993</v>
      </c>
      <c r="D132" t="s">
        <v>905</v>
      </c>
      <c r="E132" t="str">
        <f t="shared" si="7"/>
        <v>Department of Neurology/NEURO-Clinical Neurophysiology</v>
      </c>
      <c r="F132" t="s">
        <v>9</v>
      </c>
      <c r="G132" s="2" t="s">
        <v>865</v>
      </c>
      <c r="H132" t="s">
        <v>15</v>
      </c>
      <c r="I132" t="s">
        <v>21</v>
      </c>
      <c r="J132" s="1">
        <v>45473</v>
      </c>
      <c r="K132">
        <v>5</v>
      </c>
      <c r="L132" t="s">
        <v>972</v>
      </c>
      <c r="M132" t="s">
        <v>978</v>
      </c>
      <c r="N132" t="s">
        <v>21</v>
      </c>
      <c r="O132">
        <v>2023</v>
      </c>
      <c r="P132" t="str">
        <f t="shared" ref="P132:P194" si="8">I132</f>
        <v>White</v>
      </c>
      <c r="Q132">
        <v>33.793635299999998</v>
      </c>
      <c r="R132">
        <v>-84.322179556478247</v>
      </c>
      <c r="S132" t="str">
        <f t="shared" si="6"/>
        <v/>
      </c>
    </row>
    <row r="133" spans="1:19">
      <c r="A133" t="s">
        <v>627</v>
      </c>
      <c r="B133" t="s">
        <v>628</v>
      </c>
      <c r="C133" t="s">
        <v>988</v>
      </c>
      <c r="D133" t="s">
        <v>904</v>
      </c>
      <c r="E133" t="str">
        <f t="shared" si="7"/>
        <v>Department of Medicine/MED-Hematology And Medical Oncology</v>
      </c>
      <c r="F133" t="s">
        <v>14</v>
      </c>
      <c r="G133" s="2" t="s">
        <v>865</v>
      </c>
      <c r="H133" t="s">
        <v>15</v>
      </c>
      <c r="I133" t="s">
        <v>21</v>
      </c>
      <c r="J133" s="1">
        <v>45838</v>
      </c>
      <c r="K133">
        <v>5</v>
      </c>
      <c r="L133" t="s">
        <v>972</v>
      </c>
      <c r="M133" t="s">
        <v>981</v>
      </c>
      <c r="N133" t="s">
        <v>21</v>
      </c>
      <c r="O133">
        <v>2023</v>
      </c>
      <c r="P133" t="str">
        <f t="shared" si="8"/>
        <v>White</v>
      </c>
      <c r="Q133">
        <v>42.336831850000003</v>
      </c>
      <c r="R133">
        <v>-71.103809211180575</v>
      </c>
      <c r="S133" t="str">
        <f t="shared" si="6"/>
        <v/>
      </c>
    </row>
    <row r="134" spans="1:19">
      <c r="A134" t="s">
        <v>677</v>
      </c>
      <c r="B134" t="s">
        <v>678</v>
      </c>
      <c r="C134" t="s">
        <v>1000</v>
      </c>
      <c r="D134" t="s">
        <v>916</v>
      </c>
      <c r="E134" t="str">
        <f t="shared" si="7"/>
        <v>Department of Imaging/IMG-Diagnostic Radiology</v>
      </c>
      <c r="F134" t="s">
        <v>183</v>
      </c>
      <c r="G134" s="2" t="s">
        <v>866</v>
      </c>
      <c r="H134" t="s">
        <v>15</v>
      </c>
      <c r="I134" t="s">
        <v>83</v>
      </c>
      <c r="J134" s="1">
        <v>45838</v>
      </c>
      <c r="K134">
        <v>4</v>
      </c>
      <c r="L134" t="s">
        <v>972</v>
      </c>
      <c r="M134" t="s">
        <v>984</v>
      </c>
      <c r="N134" t="s">
        <v>966</v>
      </c>
      <c r="O134">
        <v>2023</v>
      </c>
      <c r="P134" t="str">
        <f t="shared" si="8"/>
        <v>Hispanic or Latino</v>
      </c>
      <c r="Q134">
        <v>34.061138</v>
      </c>
      <c r="R134">
        <v>-118.2057365</v>
      </c>
      <c r="S134">
        <f t="shared" si="6"/>
        <v>1</v>
      </c>
    </row>
    <row r="135" spans="1:19">
      <c r="A135" t="s">
        <v>423</v>
      </c>
      <c r="B135" t="s">
        <v>424</v>
      </c>
      <c r="C135" t="s">
        <v>994</v>
      </c>
      <c r="D135" t="s">
        <v>919</v>
      </c>
      <c r="E135" t="str">
        <f t="shared" si="7"/>
        <v>Department of Pathology/PATH-Pathology</v>
      </c>
      <c r="F135" t="s">
        <v>29</v>
      </c>
      <c r="G135" s="2" t="s">
        <v>866</v>
      </c>
      <c r="H135" t="s">
        <v>10</v>
      </c>
      <c r="I135" t="s">
        <v>21</v>
      </c>
      <c r="J135" s="1">
        <v>46196</v>
      </c>
      <c r="K135">
        <v>2</v>
      </c>
      <c r="L135" t="s">
        <v>972</v>
      </c>
      <c r="M135" t="s">
        <v>986</v>
      </c>
      <c r="N135" t="s">
        <v>21</v>
      </c>
      <c r="O135">
        <v>2023</v>
      </c>
      <c r="P135" t="str">
        <f t="shared" si="8"/>
        <v>White</v>
      </c>
      <c r="Q135">
        <v>36.005368400000002</v>
      </c>
      <c r="R135">
        <v>-78.938201699999993</v>
      </c>
      <c r="S135" t="str">
        <f t="shared" si="6"/>
        <v/>
      </c>
    </row>
    <row r="136" spans="1:19">
      <c r="A136" t="s">
        <v>603</v>
      </c>
      <c r="B136" t="s">
        <v>604</v>
      </c>
      <c r="C136" t="s">
        <v>991</v>
      </c>
      <c r="D136" t="s">
        <v>898</v>
      </c>
      <c r="E136" t="str">
        <f t="shared" si="7"/>
        <v>Department of Cardiology/CARD-Cardiovascular Disease</v>
      </c>
      <c r="F136" t="s">
        <v>152</v>
      </c>
      <c r="G136" s="2" t="s">
        <v>865</v>
      </c>
      <c r="H136" t="s">
        <v>15</v>
      </c>
      <c r="I136" t="s">
        <v>11</v>
      </c>
      <c r="J136" s="1">
        <v>45473</v>
      </c>
      <c r="K136">
        <v>6</v>
      </c>
      <c r="L136" t="s">
        <v>972</v>
      </c>
      <c r="M136" t="s">
        <v>982</v>
      </c>
      <c r="N136" t="s">
        <v>11</v>
      </c>
      <c r="O136">
        <v>2023</v>
      </c>
      <c r="P136" t="str">
        <f t="shared" si="8"/>
        <v>Asian</v>
      </c>
      <c r="Q136">
        <v>40.841542800000013</v>
      </c>
      <c r="R136">
        <v>-73.94139229999999</v>
      </c>
      <c r="S136" t="str">
        <f t="shared" si="6"/>
        <v/>
      </c>
    </row>
    <row r="137" spans="1:19">
      <c r="A137" t="s">
        <v>130</v>
      </c>
      <c r="B137" t="s">
        <v>331</v>
      </c>
      <c r="C137" t="s">
        <v>995</v>
      </c>
      <c r="D137" t="s">
        <v>918</v>
      </c>
      <c r="E137" t="str">
        <f t="shared" si="7"/>
        <v>Department of Neurosurgery/NEUROSURG-Neurological Surgery</v>
      </c>
      <c r="F137" t="s">
        <v>183</v>
      </c>
      <c r="G137" s="2" t="s">
        <v>866</v>
      </c>
      <c r="H137" t="s">
        <v>10</v>
      </c>
      <c r="I137" t="s">
        <v>83</v>
      </c>
      <c r="J137" s="1">
        <v>46934</v>
      </c>
      <c r="K137">
        <v>3</v>
      </c>
      <c r="L137" t="s">
        <v>972</v>
      </c>
      <c r="M137" t="s">
        <v>986</v>
      </c>
      <c r="N137" t="s">
        <v>966</v>
      </c>
      <c r="O137">
        <v>2023</v>
      </c>
      <c r="P137" t="str">
        <f t="shared" si="8"/>
        <v>Hispanic or Latino</v>
      </c>
      <c r="Q137">
        <v>36.005368400000002</v>
      </c>
      <c r="R137">
        <v>-78.938201699999993</v>
      </c>
      <c r="S137">
        <f t="shared" si="6"/>
        <v>1</v>
      </c>
    </row>
    <row r="138" spans="1:19">
      <c r="A138" t="s">
        <v>130</v>
      </c>
      <c r="B138" t="s">
        <v>100</v>
      </c>
      <c r="C138" t="s">
        <v>989</v>
      </c>
      <c r="D138" t="s">
        <v>935</v>
      </c>
      <c r="E138" t="str">
        <f t="shared" si="7"/>
        <v>Department of Surgery/SURG-Critical Care</v>
      </c>
      <c r="F138" t="s">
        <v>9</v>
      </c>
      <c r="G138" s="2" t="s">
        <v>865</v>
      </c>
      <c r="H138" t="s">
        <v>15</v>
      </c>
      <c r="I138" t="s">
        <v>83</v>
      </c>
      <c r="J138" s="1">
        <v>45504</v>
      </c>
      <c r="K138">
        <v>6</v>
      </c>
      <c r="L138" t="s">
        <v>972</v>
      </c>
      <c r="M138" t="s">
        <v>983</v>
      </c>
      <c r="N138" t="s">
        <v>966</v>
      </c>
      <c r="O138">
        <v>2023</v>
      </c>
      <c r="P138" t="str">
        <f t="shared" si="8"/>
        <v>Hispanic or Latino</v>
      </c>
      <c r="Q138">
        <v>32.874409200000002</v>
      </c>
      <c r="R138">
        <v>-117.23611849678871</v>
      </c>
      <c r="S138">
        <f t="shared" si="6"/>
        <v>1</v>
      </c>
    </row>
    <row r="139" spans="1:19">
      <c r="A139" t="s">
        <v>566</v>
      </c>
      <c r="B139" t="s">
        <v>567</v>
      </c>
      <c r="C139" t="s">
        <v>988</v>
      </c>
      <c r="D139" t="s">
        <v>887</v>
      </c>
      <c r="E139" t="str">
        <f t="shared" si="7"/>
        <v>Department of Medicine/MED-Internal Medicine</v>
      </c>
      <c r="F139" t="s">
        <v>18</v>
      </c>
      <c r="G139" s="2" t="s">
        <v>866</v>
      </c>
      <c r="H139" t="s">
        <v>15</v>
      </c>
      <c r="I139" t="s">
        <v>83</v>
      </c>
      <c r="J139" s="1">
        <v>46196</v>
      </c>
      <c r="K139">
        <v>1</v>
      </c>
      <c r="L139" t="s">
        <v>972</v>
      </c>
      <c r="M139" t="s">
        <v>977</v>
      </c>
      <c r="N139" t="s">
        <v>966</v>
      </c>
      <c r="O139">
        <v>2023</v>
      </c>
      <c r="P139" t="str">
        <f t="shared" si="8"/>
        <v>Hispanic or Latino</v>
      </c>
      <c r="Q139">
        <v>39.745566599999997</v>
      </c>
      <c r="R139">
        <v>-104.8359873</v>
      </c>
      <c r="S139">
        <f t="shared" si="6"/>
        <v>1</v>
      </c>
    </row>
    <row r="140" spans="1:19">
      <c r="A140" t="s">
        <v>595</v>
      </c>
      <c r="B140" t="s">
        <v>227</v>
      </c>
      <c r="C140" t="s">
        <v>990</v>
      </c>
      <c r="D140" t="s">
        <v>886</v>
      </c>
      <c r="E140" t="str">
        <f t="shared" si="7"/>
        <v>Department of Anesthesia/ANES-Anesthesiology</v>
      </c>
      <c r="F140" t="s">
        <v>74</v>
      </c>
      <c r="G140" s="2" t="s">
        <v>866</v>
      </c>
      <c r="H140" t="s">
        <v>15</v>
      </c>
      <c r="I140" t="s">
        <v>21</v>
      </c>
      <c r="J140" s="1">
        <v>45473</v>
      </c>
      <c r="K140">
        <v>4</v>
      </c>
      <c r="L140" t="s">
        <v>972</v>
      </c>
      <c r="M140" t="s">
        <v>965</v>
      </c>
      <c r="N140" t="s">
        <v>21</v>
      </c>
      <c r="O140">
        <v>2023</v>
      </c>
      <c r="P140" t="str">
        <f t="shared" si="8"/>
        <v>White</v>
      </c>
      <c r="Q140">
        <v>40.347099999999998</v>
      </c>
      <c r="R140">
        <v>-74.661600000000007</v>
      </c>
      <c r="S140" t="str">
        <f t="shared" si="6"/>
        <v/>
      </c>
    </row>
    <row r="141" spans="1:19">
      <c r="A141" t="s">
        <v>181</v>
      </c>
      <c r="B141" t="s">
        <v>182</v>
      </c>
      <c r="C141" t="s">
        <v>1000</v>
      </c>
      <c r="D141" t="s">
        <v>916</v>
      </c>
      <c r="E141" t="str">
        <f t="shared" si="7"/>
        <v>Department of Imaging/IMG-Diagnostic Radiology</v>
      </c>
      <c r="F141" t="s">
        <v>183</v>
      </c>
      <c r="G141" s="2" t="s">
        <v>866</v>
      </c>
      <c r="H141" t="s">
        <v>10</v>
      </c>
      <c r="I141" t="s">
        <v>11</v>
      </c>
      <c r="J141" s="1">
        <v>45838</v>
      </c>
      <c r="K141">
        <v>4</v>
      </c>
      <c r="L141" t="s">
        <v>972</v>
      </c>
      <c r="M141" t="s">
        <v>984</v>
      </c>
      <c r="N141" t="s">
        <v>11</v>
      </c>
      <c r="O141">
        <v>2023</v>
      </c>
      <c r="P141" t="str">
        <f t="shared" si="8"/>
        <v>Asian</v>
      </c>
      <c r="Q141">
        <v>34.061138</v>
      </c>
      <c r="R141">
        <v>-118.2057365</v>
      </c>
      <c r="S141" t="str">
        <f t="shared" si="6"/>
        <v/>
      </c>
    </row>
    <row r="142" spans="1:19">
      <c r="A142" t="s">
        <v>629</v>
      </c>
      <c r="B142" t="s">
        <v>630</v>
      </c>
      <c r="C142" t="s">
        <v>1000</v>
      </c>
      <c r="D142" t="s">
        <v>940</v>
      </c>
      <c r="E142" t="str">
        <f t="shared" si="7"/>
        <v>Department of Imaging/IMG-Cardiovascular Imaging</v>
      </c>
      <c r="F142" t="s">
        <v>14</v>
      </c>
      <c r="G142" t="s">
        <v>969</v>
      </c>
      <c r="H142" t="s">
        <v>10</v>
      </c>
      <c r="I142" t="s">
        <v>80</v>
      </c>
      <c r="J142" s="1">
        <v>45473</v>
      </c>
      <c r="K142">
        <v>7</v>
      </c>
      <c r="L142" t="s">
        <v>972</v>
      </c>
      <c r="M142" t="s">
        <v>984</v>
      </c>
      <c r="N142" t="s">
        <v>80</v>
      </c>
      <c r="O142">
        <v>2023</v>
      </c>
      <c r="P142" t="str">
        <f t="shared" si="8"/>
        <v>Other</v>
      </c>
      <c r="Q142">
        <v>34.061138</v>
      </c>
      <c r="R142">
        <v>-118.2057365</v>
      </c>
      <c r="S142" t="str">
        <f t="shared" si="6"/>
        <v/>
      </c>
    </row>
    <row r="143" spans="1:19">
      <c r="A143" t="s">
        <v>399</v>
      </c>
      <c r="B143" t="s">
        <v>400</v>
      </c>
      <c r="C143" t="s">
        <v>989</v>
      </c>
      <c r="D143" t="s">
        <v>930</v>
      </c>
      <c r="E143" t="str">
        <f t="shared" si="7"/>
        <v>Department of Surgery/SURG-Podiatric Surgery</v>
      </c>
      <c r="F143" t="s">
        <v>183</v>
      </c>
      <c r="G143" s="2" t="s">
        <v>80</v>
      </c>
      <c r="H143" t="s">
        <v>10</v>
      </c>
      <c r="I143" t="s">
        <v>80</v>
      </c>
      <c r="J143" s="1">
        <v>45466</v>
      </c>
      <c r="K143">
        <v>3</v>
      </c>
      <c r="L143" t="s">
        <v>972</v>
      </c>
      <c r="M143" t="s">
        <v>978</v>
      </c>
      <c r="N143" t="s">
        <v>80</v>
      </c>
      <c r="O143">
        <v>2023</v>
      </c>
      <c r="P143" t="str">
        <f t="shared" si="8"/>
        <v>Other</v>
      </c>
      <c r="Q143">
        <v>33.793635299999998</v>
      </c>
      <c r="R143">
        <v>-84.322179556478247</v>
      </c>
      <c r="S143" t="str">
        <f t="shared" si="6"/>
        <v/>
      </c>
    </row>
    <row r="144" spans="1:19">
      <c r="A144" t="s">
        <v>489</v>
      </c>
      <c r="B144" t="s">
        <v>490</v>
      </c>
      <c r="C144" t="s">
        <v>990</v>
      </c>
      <c r="D144" t="s">
        <v>886</v>
      </c>
      <c r="E144" t="str">
        <f t="shared" si="7"/>
        <v>Department of Anesthesia/ANES-Anesthesiology</v>
      </c>
      <c r="F144" t="s">
        <v>18</v>
      </c>
      <c r="G144" s="2" t="s">
        <v>866</v>
      </c>
      <c r="H144" t="s">
        <v>15</v>
      </c>
      <c r="I144" t="s">
        <v>11</v>
      </c>
      <c r="J144" s="1">
        <v>46568</v>
      </c>
      <c r="K144">
        <v>1</v>
      </c>
      <c r="L144" t="s">
        <v>972</v>
      </c>
      <c r="M144" t="s">
        <v>980</v>
      </c>
      <c r="N144" t="s">
        <v>11</v>
      </c>
      <c r="O144">
        <v>2023</v>
      </c>
      <c r="P144" t="str">
        <f t="shared" si="8"/>
        <v>Asian</v>
      </c>
      <c r="Q144">
        <v>34.064282899999988</v>
      </c>
      <c r="R144">
        <v>-118.44235620000001</v>
      </c>
      <c r="S144" t="str">
        <f t="shared" si="6"/>
        <v/>
      </c>
    </row>
    <row r="145" spans="1:19">
      <c r="A145" t="s">
        <v>505</v>
      </c>
      <c r="B145" t="s">
        <v>506</v>
      </c>
      <c r="C145" t="s">
        <v>990</v>
      </c>
      <c r="D145" t="s">
        <v>886</v>
      </c>
      <c r="E145" t="str">
        <f t="shared" si="7"/>
        <v>Department of Anesthesia/ANES-Anesthesiology</v>
      </c>
      <c r="F145" t="s">
        <v>18</v>
      </c>
      <c r="G145" s="2" t="s">
        <v>866</v>
      </c>
      <c r="H145" t="s">
        <v>15</v>
      </c>
      <c r="I145" t="s">
        <v>21</v>
      </c>
      <c r="J145" s="1">
        <v>46568</v>
      </c>
      <c r="K145">
        <v>1</v>
      </c>
      <c r="L145" t="s">
        <v>972</v>
      </c>
      <c r="M145" t="s">
        <v>965</v>
      </c>
      <c r="N145" t="s">
        <v>21</v>
      </c>
      <c r="O145">
        <v>2023</v>
      </c>
      <c r="P145" t="str">
        <f t="shared" si="8"/>
        <v>White</v>
      </c>
      <c r="Q145">
        <v>40.347099999999998</v>
      </c>
      <c r="R145">
        <v>-74.661600000000007</v>
      </c>
      <c r="S145" t="str">
        <f t="shared" si="6"/>
        <v/>
      </c>
    </row>
    <row r="146" spans="1:19">
      <c r="A146" t="s">
        <v>498</v>
      </c>
      <c r="B146" t="s">
        <v>499</v>
      </c>
      <c r="C146" t="s">
        <v>990</v>
      </c>
      <c r="D146" t="s">
        <v>886</v>
      </c>
      <c r="E146" t="str">
        <f t="shared" si="7"/>
        <v>Department of Anesthesia/ANES-Anesthesiology</v>
      </c>
      <c r="F146" t="s">
        <v>18</v>
      </c>
      <c r="G146" s="2" t="s">
        <v>866</v>
      </c>
      <c r="H146" t="s">
        <v>10</v>
      </c>
      <c r="I146" t="s">
        <v>973</v>
      </c>
      <c r="J146" s="1">
        <v>46568</v>
      </c>
      <c r="K146">
        <v>1</v>
      </c>
      <c r="L146" t="s">
        <v>972</v>
      </c>
      <c r="M146" t="s">
        <v>985</v>
      </c>
      <c r="N146" t="s">
        <v>973</v>
      </c>
      <c r="O146">
        <v>2023</v>
      </c>
      <c r="P146" t="str">
        <f t="shared" si="8"/>
        <v>No response/undeclared</v>
      </c>
      <c r="Q146">
        <v>37.4582762</v>
      </c>
      <c r="R146">
        <v>-122.1739822</v>
      </c>
      <c r="S146" t="str">
        <f t="shared" si="6"/>
        <v/>
      </c>
    </row>
    <row r="147" spans="1:19">
      <c r="A147" t="s">
        <v>547</v>
      </c>
      <c r="B147" t="s">
        <v>548</v>
      </c>
      <c r="C147" t="s">
        <v>988</v>
      </c>
      <c r="D147" t="s">
        <v>887</v>
      </c>
      <c r="E147" t="str">
        <f t="shared" si="7"/>
        <v>Department of Medicine/MED-Internal Medicine</v>
      </c>
      <c r="F147" t="s">
        <v>18</v>
      </c>
      <c r="G147" s="2" t="s">
        <v>866</v>
      </c>
      <c r="H147" t="s">
        <v>10</v>
      </c>
      <c r="I147" t="s">
        <v>21</v>
      </c>
      <c r="J147" s="1">
        <v>46196</v>
      </c>
      <c r="K147">
        <v>1</v>
      </c>
      <c r="L147" t="s">
        <v>972</v>
      </c>
      <c r="M147" t="s">
        <v>977</v>
      </c>
      <c r="N147" t="s">
        <v>21</v>
      </c>
      <c r="O147">
        <v>2023</v>
      </c>
      <c r="P147" t="str">
        <f t="shared" si="8"/>
        <v>White</v>
      </c>
      <c r="Q147">
        <v>39.745566599999997</v>
      </c>
      <c r="R147">
        <v>-104.8359873</v>
      </c>
      <c r="S147" t="str">
        <f t="shared" si="6"/>
        <v/>
      </c>
    </row>
    <row r="148" spans="1:19">
      <c r="A148" t="s">
        <v>740</v>
      </c>
      <c r="B148" t="s">
        <v>463</v>
      </c>
      <c r="C148" t="s">
        <v>990</v>
      </c>
      <c r="D148" t="s">
        <v>886</v>
      </c>
      <c r="E148" t="str">
        <f t="shared" si="7"/>
        <v>Department of Anesthesia/ANES-Anesthesiology</v>
      </c>
      <c r="F148" t="s">
        <v>29</v>
      </c>
      <c r="G148" s="2" t="s">
        <v>866</v>
      </c>
      <c r="H148" t="s">
        <v>15</v>
      </c>
      <c r="I148" t="s">
        <v>21</v>
      </c>
      <c r="J148" s="1">
        <v>46203</v>
      </c>
      <c r="K148">
        <v>2</v>
      </c>
      <c r="L148" t="s">
        <v>972</v>
      </c>
      <c r="M148" t="s">
        <v>965</v>
      </c>
      <c r="N148" t="s">
        <v>21</v>
      </c>
      <c r="O148">
        <v>2023</v>
      </c>
      <c r="P148" t="str">
        <f t="shared" si="8"/>
        <v>White</v>
      </c>
      <c r="Q148">
        <v>40.347099999999998</v>
      </c>
      <c r="R148">
        <v>-74.661600000000007</v>
      </c>
      <c r="S148" t="str">
        <f t="shared" si="6"/>
        <v/>
      </c>
    </row>
    <row r="149" spans="1:19">
      <c r="A149" t="s">
        <v>233</v>
      </c>
      <c r="B149" t="s">
        <v>234</v>
      </c>
      <c r="C149" t="s">
        <v>989</v>
      </c>
      <c r="D149" t="s">
        <v>889</v>
      </c>
      <c r="E149" t="str">
        <f t="shared" si="7"/>
        <v>Department of Surgery/SURG-Surgery</v>
      </c>
      <c r="F149" t="s">
        <v>74</v>
      </c>
      <c r="G149" s="2" t="s">
        <v>866</v>
      </c>
      <c r="H149" t="s">
        <v>15</v>
      </c>
      <c r="I149" t="s">
        <v>83</v>
      </c>
      <c r="J149" s="1">
        <v>45831</v>
      </c>
      <c r="K149">
        <v>5</v>
      </c>
      <c r="L149" t="s">
        <v>972</v>
      </c>
      <c r="M149" t="s">
        <v>979</v>
      </c>
      <c r="N149" t="s">
        <v>966</v>
      </c>
      <c r="O149">
        <v>2023</v>
      </c>
      <c r="P149" t="str">
        <f t="shared" si="8"/>
        <v>Hispanic or Latino</v>
      </c>
      <c r="Q149">
        <v>40.443128700000003</v>
      </c>
      <c r="R149">
        <v>-79.961324099999999</v>
      </c>
      <c r="S149">
        <f t="shared" si="6"/>
        <v>1</v>
      </c>
    </row>
    <row r="150" spans="1:19">
      <c r="A150" t="s">
        <v>258</v>
      </c>
      <c r="B150" t="s">
        <v>259</v>
      </c>
      <c r="C150" t="s">
        <v>996</v>
      </c>
      <c r="D150" t="s">
        <v>960</v>
      </c>
      <c r="E150" t="str">
        <f t="shared" si="7"/>
        <v>Department of Obstetrics &amp; Gynecology/OB/GYN-Obstetrics &amp; Gynecology</v>
      </c>
      <c r="F150" t="s">
        <v>74</v>
      </c>
      <c r="G150" s="2" t="s">
        <v>866</v>
      </c>
      <c r="H150" t="s">
        <v>10</v>
      </c>
      <c r="I150" t="s">
        <v>139</v>
      </c>
      <c r="J150" s="1">
        <v>45466</v>
      </c>
      <c r="K150">
        <v>4</v>
      </c>
      <c r="L150" t="s">
        <v>972</v>
      </c>
      <c r="M150" t="s">
        <v>983</v>
      </c>
      <c r="N150" t="s">
        <v>966</v>
      </c>
      <c r="O150">
        <v>2023</v>
      </c>
      <c r="P150" t="str">
        <f t="shared" si="8"/>
        <v>Asian, Hispanic or Latino</v>
      </c>
      <c r="Q150">
        <v>32.874409200000002</v>
      </c>
      <c r="R150">
        <v>-117.23611849678871</v>
      </c>
      <c r="S150">
        <f t="shared" si="6"/>
        <v>1</v>
      </c>
    </row>
    <row r="151" spans="1:19">
      <c r="A151" t="s">
        <v>450</v>
      </c>
      <c r="B151" t="s">
        <v>379</v>
      </c>
      <c r="C151" t="s">
        <v>988</v>
      </c>
      <c r="D151" t="s">
        <v>887</v>
      </c>
      <c r="E151" t="str">
        <f t="shared" si="7"/>
        <v>Department of Medicine/MED-Internal Medicine</v>
      </c>
      <c r="F151" t="s">
        <v>29</v>
      </c>
      <c r="G151" s="2" t="s">
        <v>866</v>
      </c>
      <c r="H151" t="s">
        <v>15</v>
      </c>
      <c r="I151" t="s">
        <v>83</v>
      </c>
      <c r="J151" s="1">
        <v>45831</v>
      </c>
      <c r="K151">
        <v>2</v>
      </c>
      <c r="L151" t="s">
        <v>972</v>
      </c>
      <c r="M151" t="s">
        <v>977</v>
      </c>
      <c r="N151" t="s">
        <v>966</v>
      </c>
      <c r="O151">
        <v>2023</v>
      </c>
      <c r="P151" t="str">
        <f t="shared" si="8"/>
        <v>Hispanic or Latino</v>
      </c>
      <c r="Q151">
        <v>39.745566599999997</v>
      </c>
      <c r="R151">
        <v>-104.8359873</v>
      </c>
      <c r="S151">
        <f t="shared" si="6"/>
        <v>1</v>
      </c>
    </row>
    <row r="152" spans="1:19">
      <c r="A152" t="s">
        <v>450</v>
      </c>
      <c r="B152" t="s">
        <v>524</v>
      </c>
      <c r="C152" t="s">
        <v>989</v>
      </c>
      <c r="D152" t="s">
        <v>889</v>
      </c>
      <c r="E152" t="str">
        <f t="shared" si="7"/>
        <v>Department of Surgery/SURG-Surgery</v>
      </c>
      <c r="F152" t="s">
        <v>18</v>
      </c>
      <c r="G152" s="2" t="s">
        <v>866</v>
      </c>
      <c r="H152" t="s">
        <v>10</v>
      </c>
      <c r="I152" t="s">
        <v>83</v>
      </c>
      <c r="J152" s="1">
        <v>46927</v>
      </c>
      <c r="K152">
        <v>1</v>
      </c>
      <c r="L152" t="s">
        <v>972</v>
      </c>
      <c r="M152" t="s">
        <v>979</v>
      </c>
      <c r="N152" t="s">
        <v>966</v>
      </c>
      <c r="O152">
        <v>2023</v>
      </c>
      <c r="P152" t="str">
        <f t="shared" si="8"/>
        <v>Hispanic or Latino</v>
      </c>
      <c r="Q152">
        <v>40.443128700000003</v>
      </c>
      <c r="R152">
        <v>-79.961324099999999</v>
      </c>
      <c r="S152">
        <f t="shared" si="6"/>
        <v>1</v>
      </c>
    </row>
    <row r="153" spans="1:19">
      <c r="A153" t="s">
        <v>274</v>
      </c>
      <c r="B153" t="s">
        <v>275</v>
      </c>
      <c r="C153" t="s">
        <v>994</v>
      </c>
      <c r="D153" t="s">
        <v>919</v>
      </c>
      <c r="E153" t="str">
        <f t="shared" si="7"/>
        <v>Department of Pathology/PATH-Pathology</v>
      </c>
      <c r="F153" t="s">
        <v>74</v>
      </c>
      <c r="G153" s="2" t="s">
        <v>866</v>
      </c>
      <c r="H153" t="s">
        <v>15</v>
      </c>
      <c r="I153" t="s">
        <v>83</v>
      </c>
      <c r="J153" s="1">
        <v>45466</v>
      </c>
      <c r="K153">
        <v>4</v>
      </c>
      <c r="L153" t="s">
        <v>972</v>
      </c>
      <c r="M153" t="s">
        <v>986</v>
      </c>
      <c r="N153" t="s">
        <v>966</v>
      </c>
      <c r="O153">
        <v>2023</v>
      </c>
      <c r="P153" t="str">
        <f t="shared" si="8"/>
        <v>Hispanic or Latino</v>
      </c>
      <c r="Q153">
        <v>36.005368400000002</v>
      </c>
      <c r="R153">
        <v>-78.938201699999993</v>
      </c>
      <c r="S153">
        <f t="shared" si="6"/>
        <v>1</v>
      </c>
    </row>
    <row r="154" spans="1:19">
      <c r="A154" t="s">
        <v>488</v>
      </c>
      <c r="B154" t="s">
        <v>278</v>
      </c>
      <c r="C154" t="s">
        <v>990</v>
      </c>
      <c r="D154" t="s">
        <v>886</v>
      </c>
      <c r="E154" t="str">
        <f t="shared" si="7"/>
        <v>Department of Anesthesia/ANES-Anesthesiology</v>
      </c>
      <c r="F154" t="s">
        <v>18</v>
      </c>
      <c r="G154" s="2" t="s">
        <v>866</v>
      </c>
      <c r="H154" t="s">
        <v>15</v>
      </c>
      <c r="I154" t="s">
        <v>21</v>
      </c>
      <c r="J154" s="1">
        <v>46568</v>
      </c>
      <c r="K154">
        <v>1</v>
      </c>
      <c r="L154" t="s">
        <v>972</v>
      </c>
      <c r="M154" t="s">
        <v>965</v>
      </c>
      <c r="N154" t="s">
        <v>21</v>
      </c>
      <c r="O154">
        <v>2023</v>
      </c>
      <c r="P154" t="str">
        <f t="shared" si="8"/>
        <v>White</v>
      </c>
      <c r="Q154">
        <v>40.347099999999998</v>
      </c>
      <c r="R154">
        <v>-74.661600000000007</v>
      </c>
      <c r="S154" t="str">
        <f t="shared" si="6"/>
        <v/>
      </c>
    </row>
    <row r="155" spans="1:19">
      <c r="A155" t="s">
        <v>208</v>
      </c>
      <c r="B155" t="s">
        <v>209</v>
      </c>
      <c r="C155" t="s">
        <v>988</v>
      </c>
      <c r="D155" t="s">
        <v>887</v>
      </c>
      <c r="E155" t="str">
        <f t="shared" si="7"/>
        <v>Department of Medicine/MED-Internal Medicine</v>
      </c>
      <c r="F155" t="s">
        <v>168</v>
      </c>
      <c r="G155" t="s">
        <v>969</v>
      </c>
      <c r="H155" t="s">
        <v>10</v>
      </c>
      <c r="I155" t="s">
        <v>11</v>
      </c>
      <c r="J155" s="1" t="s">
        <v>40</v>
      </c>
      <c r="K155" t="s">
        <v>40</v>
      </c>
      <c r="L155" t="s">
        <v>972</v>
      </c>
      <c r="M155" t="s">
        <v>981</v>
      </c>
      <c r="N155" t="s">
        <v>11</v>
      </c>
      <c r="O155">
        <v>2023</v>
      </c>
      <c r="P155" t="str">
        <f t="shared" si="8"/>
        <v>Asian</v>
      </c>
      <c r="Q155">
        <v>42.336831850000003</v>
      </c>
      <c r="R155">
        <v>-71.103809211180575</v>
      </c>
      <c r="S155" t="str">
        <f t="shared" si="6"/>
        <v/>
      </c>
    </row>
    <row r="156" spans="1:19">
      <c r="A156" t="s">
        <v>573</v>
      </c>
      <c r="B156" t="s">
        <v>574</v>
      </c>
      <c r="C156" t="s">
        <v>988</v>
      </c>
      <c r="D156" t="s">
        <v>887</v>
      </c>
      <c r="E156" t="str">
        <f t="shared" si="7"/>
        <v>Department of Medicine/MED-Internal Medicine</v>
      </c>
      <c r="F156" t="s">
        <v>18</v>
      </c>
      <c r="G156" s="2" t="s">
        <v>866</v>
      </c>
      <c r="H156" t="s">
        <v>10</v>
      </c>
      <c r="I156" t="s">
        <v>11</v>
      </c>
      <c r="J156" s="1">
        <v>46196</v>
      </c>
      <c r="K156">
        <v>1</v>
      </c>
      <c r="L156" t="s">
        <v>972</v>
      </c>
      <c r="M156" t="s">
        <v>981</v>
      </c>
      <c r="N156" t="s">
        <v>11</v>
      </c>
      <c r="O156">
        <v>2023</v>
      </c>
      <c r="P156" t="str">
        <f t="shared" si="8"/>
        <v>Asian</v>
      </c>
      <c r="Q156">
        <v>42.336831850000003</v>
      </c>
      <c r="R156">
        <v>-71.103809211180575</v>
      </c>
      <c r="S156" t="str">
        <f t="shared" si="6"/>
        <v/>
      </c>
    </row>
    <row r="157" spans="1:19">
      <c r="A157" t="s">
        <v>103</v>
      </c>
      <c r="B157" t="s">
        <v>104</v>
      </c>
      <c r="C157" t="s">
        <v>997</v>
      </c>
      <c r="D157" t="s">
        <v>952</v>
      </c>
      <c r="E157" t="str">
        <f t="shared" si="7"/>
        <v>Department of Orthopedic Surgery/ORTHO-Ortho Joint Reconstruction</v>
      </c>
      <c r="F157" t="s">
        <v>9</v>
      </c>
      <c r="G157" t="s">
        <v>969</v>
      </c>
      <c r="H157" t="s">
        <v>15</v>
      </c>
      <c r="I157" t="s">
        <v>21</v>
      </c>
      <c r="J157" s="1">
        <v>45504</v>
      </c>
      <c r="K157">
        <v>6</v>
      </c>
      <c r="L157" t="s">
        <v>972</v>
      </c>
      <c r="M157" t="s">
        <v>983</v>
      </c>
      <c r="N157" t="s">
        <v>21</v>
      </c>
      <c r="O157">
        <v>2023</v>
      </c>
      <c r="P157" t="str">
        <f t="shared" si="8"/>
        <v>White</v>
      </c>
      <c r="Q157">
        <v>32.874409200000002</v>
      </c>
      <c r="R157">
        <v>-117.23611849678871</v>
      </c>
      <c r="S157" t="str">
        <f t="shared" si="6"/>
        <v/>
      </c>
    </row>
    <row r="158" spans="1:19">
      <c r="A158" t="s">
        <v>184</v>
      </c>
      <c r="B158" t="s">
        <v>185</v>
      </c>
      <c r="C158" t="s">
        <v>1000</v>
      </c>
      <c r="D158" t="s">
        <v>916</v>
      </c>
      <c r="E158" t="str">
        <f t="shared" si="7"/>
        <v>Department of Imaging/IMG-Diagnostic Radiology</v>
      </c>
      <c r="F158" t="s">
        <v>183</v>
      </c>
      <c r="G158" s="2" t="s">
        <v>866</v>
      </c>
      <c r="H158" t="s">
        <v>15</v>
      </c>
      <c r="I158" t="s">
        <v>11</v>
      </c>
      <c r="J158" s="1">
        <v>45838</v>
      </c>
      <c r="K158">
        <v>4</v>
      </c>
      <c r="L158" t="s">
        <v>972</v>
      </c>
      <c r="M158" t="s">
        <v>984</v>
      </c>
      <c r="N158" t="s">
        <v>11</v>
      </c>
      <c r="O158">
        <v>2023</v>
      </c>
      <c r="P158" t="str">
        <f t="shared" si="8"/>
        <v>Asian</v>
      </c>
      <c r="Q158">
        <v>34.061138</v>
      </c>
      <c r="R158">
        <v>-118.2057365</v>
      </c>
      <c r="S158" t="str">
        <f t="shared" si="6"/>
        <v/>
      </c>
    </row>
    <row r="159" spans="1:19">
      <c r="A159" t="s">
        <v>150</v>
      </c>
      <c r="B159" t="s">
        <v>151</v>
      </c>
      <c r="C159" t="s">
        <v>996</v>
      </c>
      <c r="D159" t="s">
        <v>958</v>
      </c>
      <c r="E159" t="str">
        <f t="shared" si="7"/>
        <v>Department of Obstetrics &amp; Gynecology/OB/GYN-Maternal &amp; Fetal Medicine</v>
      </c>
      <c r="F159" t="s">
        <v>152</v>
      </c>
      <c r="G159" s="2" t="s">
        <v>865</v>
      </c>
      <c r="H159" t="s">
        <v>10</v>
      </c>
      <c r="I159" t="s">
        <v>11</v>
      </c>
      <c r="J159" s="1">
        <v>45473</v>
      </c>
      <c r="K159">
        <v>7</v>
      </c>
      <c r="L159" t="s">
        <v>972</v>
      </c>
      <c r="M159" t="s">
        <v>983</v>
      </c>
      <c r="N159" t="s">
        <v>11</v>
      </c>
      <c r="O159">
        <v>2023</v>
      </c>
      <c r="P159" t="str">
        <f t="shared" si="8"/>
        <v>Asian</v>
      </c>
      <c r="Q159">
        <v>32.874409200000002</v>
      </c>
      <c r="R159">
        <v>-117.23611849678871</v>
      </c>
      <c r="S159" t="str">
        <f t="shared" si="6"/>
        <v/>
      </c>
    </row>
    <row r="160" spans="1:19">
      <c r="A160" t="s">
        <v>403</v>
      </c>
      <c r="B160" t="s">
        <v>213</v>
      </c>
      <c r="C160" t="s">
        <v>988</v>
      </c>
      <c r="D160" t="s">
        <v>887</v>
      </c>
      <c r="E160" t="str">
        <f t="shared" si="7"/>
        <v>Department of Medicine/MED-Internal Medicine</v>
      </c>
      <c r="F160" t="s">
        <v>29</v>
      </c>
      <c r="G160" s="2" t="s">
        <v>866</v>
      </c>
      <c r="H160" t="s">
        <v>10</v>
      </c>
      <c r="I160" t="s">
        <v>21</v>
      </c>
      <c r="J160" s="1">
        <v>45831</v>
      </c>
      <c r="K160">
        <v>2</v>
      </c>
      <c r="L160" t="s">
        <v>972</v>
      </c>
      <c r="M160" t="s">
        <v>977</v>
      </c>
      <c r="N160" t="s">
        <v>21</v>
      </c>
      <c r="O160">
        <v>2023</v>
      </c>
      <c r="P160" t="str">
        <f t="shared" si="8"/>
        <v>White</v>
      </c>
      <c r="Q160">
        <v>39.745566599999997</v>
      </c>
      <c r="R160">
        <v>-104.8359873</v>
      </c>
      <c r="S160" t="str">
        <f t="shared" si="6"/>
        <v/>
      </c>
    </row>
    <row r="161" spans="1:19">
      <c r="A161" t="s">
        <v>803</v>
      </c>
      <c r="B161" t="s">
        <v>804</v>
      </c>
      <c r="C161" t="s">
        <v>1000</v>
      </c>
      <c r="D161" t="s">
        <v>916</v>
      </c>
      <c r="E161" t="str">
        <f t="shared" si="7"/>
        <v>Department of Imaging/IMG-Diagnostic Radiology</v>
      </c>
      <c r="F161" t="s">
        <v>18</v>
      </c>
      <c r="G161" s="2" t="s">
        <v>866</v>
      </c>
      <c r="H161" t="s">
        <v>15</v>
      </c>
      <c r="I161" t="s">
        <v>21</v>
      </c>
      <c r="J161" s="1">
        <v>46568</v>
      </c>
      <c r="K161">
        <v>2</v>
      </c>
      <c r="L161" t="s">
        <v>972</v>
      </c>
      <c r="M161" t="s">
        <v>984</v>
      </c>
      <c r="N161" t="s">
        <v>21</v>
      </c>
      <c r="O161">
        <v>2023</v>
      </c>
      <c r="P161" t="str">
        <f t="shared" si="8"/>
        <v>White</v>
      </c>
      <c r="Q161">
        <v>34.061138</v>
      </c>
      <c r="R161">
        <v>-118.2057365</v>
      </c>
      <c r="S161" t="str">
        <f t="shared" si="6"/>
        <v/>
      </c>
    </row>
    <row r="162" spans="1:19">
      <c r="A162" t="s">
        <v>690</v>
      </c>
      <c r="B162" t="s">
        <v>691</v>
      </c>
      <c r="C162" t="s">
        <v>990</v>
      </c>
      <c r="D162" t="s">
        <v>886</v>
      </c>
      <c r="E162" t="str">
        <f t="shared" si="7"/>
        <v>Department of Anesthesia/ANES-Anesthesiology</v>
      </c>
      <c r="F162" t="s">
        <v>183</v>
      </c>
      <c r="G162" s="2" t="s">
        <v>866</v>
      </c>
      <c r="H162" t="s">
        <v>15</v>
      </c>
      <c r="I162" t="s">
        <v>21</v>
      </c>
      <c r="J162" s="1">
        <v>45838</v>
      </c>
      <c r="K162">
        <v>3</v>
      </c>
      <c r="L162" t="s">
        <v>972</v>
      </c>
      <c r="M162" t="s">
        <v>965</v>
      </c>
      <c r="N162" t="s">
        <v>21</v>
      </c>
      <c r="O162">
        <v>2023</v>
      </c>
      <c r="P162" t="str">
        <f t="shared" si="8"/>
        <v>White</v>
      </c>
      <c r="Q162">
        <v>40.347099999999998</v>
      </c>
      <c r="R162">
        <v>-74.661600000000007</v>
      </c>
      <c r="S162" t="str">
        <f t="shared" si="6"/>
        <v/>
      </c>
    </row>
    <row r="163" spans="1:19">
      <c r="A163" t="s">
        <v>669</v>
      </c>
      <c r="B163" t="s">
        <v>51</v>
      </c>
      <c r="C163" t="s">
        <v>988</v>
      </c>
      <c r="D163" t="s">
        <v>892</v>
      </c>
      <c r="E163" t="str">
        <f t="shared" si="7"/>
        <v>Department of Medicine/MED-Rheumatology</v>
      </c>
      <c r="F163" t="s">
        <v>9</v>
      </c>
      <c r="G163" s="2" t="s">
        <v>865</v>
      </c>
      <c r="H163" t="s">
        <v>10</v>
      </c>
      <c r="I163" t="s">
        <v>11</v>
      </c>
      <c r="J163" s="1">
        <v>45838</v>
      </c>
      <c r="K163">
        <v>4</v>
      </c>
      <c r="L163" t="s">
        <v>972</v>
      </c>
      <c r="M163" t="s">
        <v>978</v>
      </c>
      <c r="N163" t="s">
        <v>11</v>
      </c>
      <c r="O163">
        <v>2023</v>
      </c>
      <c r="P163" t="str">
        <f t="shared" si="8"/>
        <v>Asian</v>
      </c>
      <c r="Q163">
        <v>33.793635299999998</v>
      </c>
      <c r="R163">
        <v>-84.322179556478247</v>
      </c>
      <c r="S163" t="str">
        <f t="shared" si="6"/>
        <v/>
      </c>
    </row>
    <row r="164" spans="1:19">
      <c r="A164" t="s">
        <v>552</v>
      </c>
      <c r="B164" t="s">
        <v>553</v>
      </c>
      <c r="C164" t="s">
        <v>988</v>
      </c>
      <c r="D164" t="s">
        <v>887</v>
      </c>
      <c r="E164" t="str">
        <f t="shared" si="7"/>
        <v>Department of Medicine/MED-Internal Medicine</v>
      </c>
      <c r="F164" t="s">
        <v>18</v>
      </c>
      <c r="G164" s="2" t="s">
        <v>866</v>
      </c>
      <c r="H164" t="s">
        <v>10</v>
      </c>
      <c r="I164" t="s">
        <v>11</v>
      </c>
      <c r="J164" s="1">
        <v>46196</v>
      </c>
      <c r="K164">
        <v>1</v>
      </c>
      <c r="L164" t="s">
        <v>972</v>
      </c>
      <c r="M164" t="s">
        <v>981</v>
      </c>
      <c r="N164" t="s">
        <v>11</v>
      </c>
      <c r="O164">
        <v>2023</v>
      </c>
      <c r="P164" t="str">
        <f t="shared" si="8"/>
        <v>Asian</v>
      </c>
      <c r="Q164">
        <v>42.336831850000003</v>
      </c>
      <c r="R164">
        <v>-71.103809211180575</v>
      </c>
      <c r="S164" t="str">
        <f t="shared" si="6"/>
        <v/>
      </c>
    </row>
    <row r="165" spans="1:19">
      <c r="A165" t="s">
        <v>584</v>
      </c>
      <c r="B165" t="s">
        <v>585</v>
      </c>
      <c r="C165" t="s">
        <v>990</v>
      </c>
      <c r="D165" t="s">
        <v>886</v>
      </c>
      <c r="E165" t="str">
        <f t="shared" si="7"/>
        <v>Department of Anesthesia/ANES-Anesthesiology</v>
      </c>
      <c r="F165" t="s">
        <v>74</v>
      </c>
      <c r="G165" s="2" t="s">
        <v>866</v>
      </c>
      <c r="H165" t="s">
        <v>15</v>
      </c>
      <c r="I165" t="s">
        <v>21</v>
      </c>
      <c r="J165" s="1">
        <v>45473</v>
      </c>
      <c r="K165">
        <v>4</v>
      </c>
      <c r="L165" t="s">
        <v>972</v>
      </c>
      <c r="M165" t="s">
        <v>965</v>
      </c>
      <c r="N165" t="s">
        <v>21</v>
      </c>
      <c r="O165">
        <v>2023</v>
      </c>
      <c r="P165" t="str">
        <f t="shared" si="8"/>
        <v>White</v>
      </c>
      <c r="Q165">
        <v>40.347099999999998</v>
      </c>
      <c r="R165">
        <v>-74.661600000000007</v>
      </c>
      <c r="S165" t="str">
        <f t="shared" si="6"/>
        <v/>
      </c>
    </row>
    <row r="166" spans="1:19">
      <c r="A166" t="s">
        <v>584</v>
      </c>
      <c r="B166" t="s">
        <v>713</v>
      </c>
      <c r="C166" t="s">
        <v>996</v>
      </c>
      <c r="D166" t="s">
        <v>959</v>
      </c>
      <c r="E166" t="str">
        <f t="shared" si="7"/>
        <v>Department of Obstetrics &amp; Gynecology/OB/GYN-Minimally Invasive Gynecologic Surgery</v>
      </c>
      <c r="F166" t="s">
        <v>14</v>
      </c>
      <c r="G166" t="s">
        <v>969</v>
      </c>
      <c r="H166" t="s">
        <v>10</v>
      </c>
      <c r="I166" t="s">
        <v>21</v>
      </c>
      <c r="J166" s="1">
        <v>45838</v>
      </c>
      <c r="K166">
        <v>6</v>
      </c>
      <c r="L166" t="s">
        <v>972</v>
      </c>
      <c r="M166" t="s">
        <v>983</v>
      </c>
      <c r="N166" t="s">
        <v>21</v>
      </c>
      <c r="O166">
        <v>2023</v>
      </c>
      <c r="P166" t="str">
        <f t="shared" si="8"/>
        <v>White</v>
      </c>
      <c r="Q166">
        <v>32.874409200000002</v>
      </c>
      <c r="R166">
        <v>-117.23611849678871</v>
      </c>
      <c r="S166" t="str">
        <f t="shared" si="6"/>
        <v/>
      </c>
    </row>
    <row r="167" spans="1:19">
      <c r="A167" t="s">
        <v>41</v>
      </c>
      <c r="B167" t="s">
        <v>42</v>
      </c>
      <c r="C167" t="s">
        <v>990</v>
      </c>
      <c r="D167" t="s">
        <v>921</v>
      </c>
      <c r="E167" t="str">
        <f t="shared" si="7"/>
        <v>Department of Anesthesia/ANES-Obstetric Anesthesiology</v>
      </c>
      <c r="F167" t="s">
        <v>9</v>
      </c>
      <c r="G167" s="2" t="s">
        <v>865</v>
      </c>
      <c r="H167" t="s">
        <v>15</v>
      </c>
      <c r="I167" t="s">
        <v>21</v>
      </c>
      <c r="J167" s="1">
        <v>45504</v>
      </c>
      <c r="K167">
        <v>5</v>
      </c>
      <c r="L167" t="s">
        <v>972</v>
      </c>
      <c r="M167" t="s">
        <v>965</v>
      </c>
      <c r="N167" t="s">
        <v>21</v>
      </c>
      <c r="O167">
        <v>2023</v>
      </c>
      <c r="P167" t="str">
        <f t="shared" si="8"/>
        <v>White</v>
      </c>
      <c r="Q167">
        <v>40.347099999999998</v>
      </c>
      <c r="R167">
        <v>-74.661600000000007</v>
      </c>
      <c r="S167" t="str">
        <f t="shared" si="6"/>
        <v/>
      </c>
    </row>
    <row r="168" spans="1:19">
      <c r="A168" t="s">
        <v>471</v>
      </c>
      <c r="B168" t="s">
        <v>288</v>
      </c>
      <c r="C168" t="s">
        <v>988</v>
      </c>
      <c r="D168" t="s">
        <v>887</v>
      </c>
      <c r="E168" t="str">
        <f t="shared" si="7"/>
        <v>Department of Medicine/MED-Internal Medicine</v>
      </c>
      <c r="F168" t="s">
        <v>29</v>
      </c>
      <c r="G168" s="2" t="s">
        <v>866</v>
      </c>
      <c r="H168" t="s">
        <v>10</v>
      </c>
      <c r="I168" t="s">
        <v>11</v>
      </c>
      <c r="J168" s="1">
        <v>45831</v>
      </c>
      <c r="K168">
        <v>2</v>
      </c>
      <c r="L168" t="s">
        <v>972</v>
      </c>
      <c r="M168" t="s">
        <v>981</v>
      </c>
      <c r="N168" t="s">
        <v>11</v>
      </c>
      <c r="O168">
        <v>2023</v>
      </c>
      <c r="P168" t="str">
        <f t="shared" si="8"/>
        <v>Asian</v>
      </c>
      <c r="Q168">
        <v>42.336831850000003</v>
      </c>
      <c r="R168">
        <v>-71.103809211180575</v>
      </c>
      <c r="S168" t="str">
        <f t="shared" si="6"/>
        <v/>
      </c>
    </row>
    <row r="169" spans="1:19">
      <c r="A169" t="s">
        <v>471</v>
      </c>
      <c r="B169" t="s">
        <v>546</v>
      </c>
      <c r="C169" t="s">
        <v>988</v>
      </c>
      <c r="D169" t="s">
        <v>887</v>
      </c>
      <c r="E169" t="str">
        <f t="shared" si="7"/>
        <v>Department of Medicine/MED-Internal Medicine</v>
      </c>
      <c r="F169" t="s">
        <v>18</v>
      </c>
      <c r="G169" s="2" t="s">
        <v>866</v>
      </c>
      <c r="H169" t="s">
        <v>15</v>
      </c>
      <c r="I169" t="s">
        <v>11</v>
      </c>
      <c r="J169" s="1">
        <v>46196</v>
      </c>
      <c r="K169">
        <v>1</v>
      </c>
      <c r="L169" t="s">
        <v>972</v>
      </c>
      <c r="M169" t="s">
        <v>981</v>
      </c>
      <c r="N169" t="s">
        <v>11</v>
      </c>
      <c r="O169">
        <v>2023</v>
      </c>
      <c r="P169" t="str">
        <f t="shared" si="8"/>
        <v>Asian</v>
      </c>
      <c r="Q169">
        <v>42.336831850000003</v>
      </c>
      <c r="R169">
        <v>-71.103809211180575</v>
      </c>
      <c r="S169" t="str">
        <f t="shared" si="6"/>
        <v/>
      </c>
    </row>
    <row r="170" spans="1:19">
      <c r="A170" t="s">
        <v>843</v>
      </c>
      <c r="B170" t="s">
        <v>844</v>
      </c>
      <c r="C170" t="s">
        <v>991</v>
      </c>
      <c r="D170" t="s">
        <v>911</v>
      </c>
      <c r="E170" t="str">
        <f t="shared" si="7"/>
        <v>Department of Cardiology/CARD-Robotic Cardiac Surgery</v>
      </c>
      <c r="F170" t="s">
        <v>9</v>
      </c>
      <c r="G170" t="s">
        <v>969</v>
      </c>
      <c r="H170" t="s">
        <v>10</v>
      </c>
      <c r="I170" t="s">
        <v>11</v>
      </c>
      <c r="J170" s="1">
        <v>45504</v>
      </c>
      <c r="K170" t="s">
        <v>40</v>
      </c>
      <c r="L170" t="s">
        <v>972</v>
      </c>
      <c r="M170" t="s">
        <v>982</v>
      </c>
      <c r="N170" t="s">
        <v>11</v>
      </c>
      <c r="O170">
        <v>2023</v>
      </c>
      <c r="P170" t="str">
        <f t="shared" si="8"/>
        <v>Asian</v>
      </c>
      <c r="Q170">
        <v>40.841542800000013</v>
      </c>
      <c r="R170">
        <v>-73.94139229999999</v>
      </c>
      <c r="S170" t="str">
        <f t="shared" si="6"/>
        <v/>
      </c>
    </row>
    <row r="171" spans="1:19">
      <c r="A171" t="s">
        <v>710</v>
      </c>
      <c r="B171" t="s">
        <v>87</v>
      </c>
      <c r="C171" t="s">
        <v>999</v>
      </c>
      <c r="D171" t="s">
        <v>890</v>
      </c>
      <c r="E171" t="str">
        <f t="shared" si="7"/>
        <v>Department of Urology/URO-Urology</v>
      </c>
      <c r="F171" t="s">
        <v>183</v>
      </c>
      <c r="G171" s="2" t="s">
        <v>866</v>
      </c>
      <c r="H171" t="s">
        <v>15</v>
      </c>
      <c r="I171" t="s">
        <v>21</v>
      </c>
      <c r="J171" s="1">
        <v>46203</v>
      </c>
      <c r="K171">
        <v>3</v>
      </c>
      <c r="L171" t="s">
        <v>972</v>
      </c>
      <c r="M171" t="s">
        <v>979</v>
      </c>
      <c r="N171" t="s">
        <v>21</v>
      </c>
      <c r="O171">
        <v>2023</v>
      </c>
      <c r="P171" t="str">
        <f t="shared" si="8"/>
        <v>White</v>
      </c>
      <c r="Q171">
        <v>40.443128700000003</v>
      </c>
      <c r="R171">
        <v>-79.961324099999999</v>
      </c>
      <c r="S171" t="str">
        <f t="shared" si="6"/>
        <v/>
      </c>
    </row>
    <row r="172" spans="1:19">
      <c r="A172" t="s">
        <v>317</v>
      </c>
      <c r="B172" t="s">
        <v>87</v>
      </c>
      <c r="C172" t="s">
        <v>990</v>
      </c>
      <c r="D172" t="s">
        <v>886</v>
      </c>
      <c r="E172" t="str">
        <f t="shared" si="7"/>
        <v>Department of Anesthesia/ANES-Anesthesiology</v>
      </c>
      <c r="F172" t="s">
        <v>18</v>
      </c>
      <c r="G172" s="2" t="s">
        <v>866</v>
      </c>
      <c r="H172" t="s">
        <v>15</v>
      </c>
      <c r="I172" t="s">
        <v>21</v>
      </c>
      <c r="J172" s="1">
        <v>46568</v>
      </c>
      <c r="K172">
        <v>1</v>
      </c>
      <c r="L172" t="s">
        <v>972</v>
      </c>
      <c r="M172" t="s">
        <v>965</v>
      </c>
      <c r="N172" t="s">
        <v>21</v>
      </c>
      <c r="O172">
        <v>2023</v>
      </c>
      <c r="P172" t="str">
        <f t="shared" si="8"/>
        <v>White</v>
      </c>
      <c r="Q172">
        <v>40.347099999999998</v>
      </c>
      <c r="R172">
        <v>-74.661600000000007</v>
      </c>
      <c r="S172" t="str">
        <f t="shared" si="6"/>
        <v/>
      </c>
    </row>
    <row r="173" spans="1:19">
      <c r="A173" t="s">
        <v>317</v>
      </c>
      <c r="B173" t="s">
        <v>583</v>
      </c>
      <c r="C173" t="s">
        <v>990</v>
      </c>
      <c r="D173" t="s">
        <v>886</v>
      </c>
      <c r="E173" t="str">
        <f t="shared" si="7"/>
        <v>Department of Anesthesia/ANES-Anesthesiology</v>
      </c>
      <c r="F173" t="s">
        <v>74</v>
      </c>
      <c r="G173" s="2" t="s">
        <v>866</v>
      </c>
      <c r="H173" t="s">
        <v>15</v>
      </c>
      <c r="I173" t="s">
        <v>21</v>
      </c>
      <c r="J173" s="1">
        <v>45473</v>
      </c>
      <c r="K173">
        <v>4</v>
      </c>
      <c r="L173" t="s">
        <v>972</v>
      </c>
      <c r="M173" t="s">
        <v>965</v>
      </c>
      <c r="N173" t="s">
        <v>21</v>
      </c>
      <c r="O173">
        <v>2023</v>
      </c>
      <c r="P173" t="str">
        <f t="shared" si="8"/>
        <v>White</v>
      </c>
      <c r="Q173">
        <v>40.347099999999998</v>
      </c>
      <c r="R173">
        <v>-74.661600000000007</v>
      </c>
      <c r="S173" t="str">
        <f t="shared" si="6"/>
        <v/>
      </c>
    </row>
    <row r="174" spans="1:19">
      <c r="A174" t="s">
        <v>25</v>
      </c>
      <c r="B174" t="s">
        <v>26</v>
      </c>
      <c r="C174" t="s">
        <v>988</v>
      </c>
      <c r="D174" t="s">
        <v>887</v>
      </c>
      <c r="E174" t="str">
        <f t="shared" si="7"/>
        <v>Department of Medicine/MED-Internal Medicine</v>
      </c>
      <c r="F174" t="s">
        <v>18</v>
      </c>
      <c r="G174" s="2" t="s">
        <v>866</v>
      </c>
      <c r="H174" t="s">
        <v>10</v>
      </c>
      <c r="I174" t="s">
        <v>21</v>
      </c>
      <c r="J174" s="1">
        <v>46196</v>
      </c>
      <c r="K174">
        <v>1</v>
      </c>
      <c r="L174" t="s">
        <v>972</v>
      </c>
      <c r="M174" t="s">
        <v>977</v>
      </c>
      <c r="N174" t="s">
        <v>21</v>
      </c>
      <c r="O174">
        <v>2023</v>
      </c>
      <c r="P174" t="str">
        <f t="shared" si="8"/>
        <v>White</v>
      </c>
      <c r="Q174">
        <v>39.745566599999997</v>
      </c>
      <c r="R174">
        <v>-104.8359873</v>
      </c>
      <c r="S174" t="str">
        <f t="shared" si="6"/>
        <v/>
      </c>
    </row>
    <row r="175" spans="1:19">
      <c r="A175" t="s">
        <v>265</v>
      </c>
      <c r="B175" t="s">
        <v>266</v>
      </c>
      <c r="C175" t="s">
        <v>996</v>
      </c>
      <c r="D175" t="s">
        <v>960</v>
      </c>
      <c r="E175" t="str">
        <f t="shared" si="7"/>
        <v>Department of Obstetrics &amp; Gynecology/OB/GYN-Obstetrics &amp; Gynecology</v>
      </c>
      <c r="F175" t="s">
        <v>74</v>
      </c>
      <c r="G175" s="2" t="s">
        <v>866</v>
      </c>
      <c r="H175" t="s">
        <v>10</v>
      </c>
      <c r="I175" t="s">
        <v>21</v>
      </c>
      <c r="J175" s="1">
        <v>45466</v>
      </c>
      <c r="K175">
        <v>4</v>
      </c>
      <c r="L175" t="s">
        <v>972</v>
      </c>
      <c r="M175" t="s">
        <v>983</v>
      </c>
      <c r="N175" t="s">
        <v>21</v>
      </c>
      <c r="O175">
        <v>2023</v>
      </c>
      <c r="P175" t="str">
        <f t="shared" si="8"/>
        <v>White</v>
      </c>
      <c r="Q175">
        <v>32.874409200000002</v>
      </c>
      <c r="R175">
        <v>-117.23611849678871</v>
      </c>
      <c r="S175" t="str">
        <f t="shared" si="6"/>
        <v/>
      </c>
    </row>
    <row r="176" spans="1:19">
      <c r="A176" t="s">
        <v>716</v>
      </c>
      <c r="B176" t="s">
        <v>717</v>
      </c>
      <c r="C176" t="s">
        <v>988</v>
      </c>
      <c r="D176" t="s">
        <v>903</v>
      </c>
      <c r="E176" t="str">
        <f t="shared" si="7"/>
        <v>Department of Medicine/MED-Gastroenterology</v>
      </c>
      <c r="F176" t="s">
        <v>14</v>
      </c>
      <c r="G176" s="2" t="s">
        <v>865</v>
      </c>
      <c r="H176" t="s">
        <v>10</v>
      </c>
      <c r="I176" t="s">
        <v>83</v>
      </c>
      <c r="J176" s="1">
        <v>45838</v>
      </c>
      <c r="K176">
        <v>5</v>
      </c>
      <c r="L176" t="s">
        <v>972</v>
      </c>
      <c r="M176" t="s">
        <v>984</v>
      </c>
      <c r="N176" t="s">
        <v>966</v>
      </c>
      <c r="O176">
        <v>2023</v>
      </c>
      <c r="P176" t="str">
        <f t="shared" si="8"/>
        <v>Hispanic or Latino</v>
      </c>
      <c r="Q176">
        <v>34.061138</v>
      </c>
      <c r="R176">
        <v>-118.2057365</v>
      </c>
      <c r="S176">
        <f t="shared" si="6"/>
        <v>1</v>
      </c>
    </row>
    <row r="177" spans="1:19">
      <c r="A177" t="s">
        <v>99</v>
      </c>
      <c r="B177" t="s">
        <v>472</v>
      </c>
      <c r="C177" t="s">
        <v>988</v>
      </c>
      <c r="D177" t="s">
        <v>887</v>
      </c>
      <c r="E177" t="str">
        <f t="shared" si="7"/>
        <v>Department of Medicine/MED-Internal Medicine</v>
      </c>
      <c r="F177" t="s">
        <v>29</v>
      </c>
      <c r="G177" s="2" t="s">
        <v>866</v>
      </c>
      <c r="H177" t="s">
        <v>10</v>
      </c>
      <c r="I177" t="s">
        <v>11</v>
      </c>
      <c r="J177" s="1">
        <v>45831</v>
      </c>
      <c r="K177">
        <v>2</v>
      </c>
      <c r="L177" t="s">
        <v>972</v>
      </c>
      <c r="M177" t="s">
        <v>981</v>
      </c>
      <c r="N177" t="s">
        <v>11</v>
      </c>
      <c r="O177">
        <v>2023</v>
      </c>
      <c r="P177" t="str">
        <f t="shared" si="8"/>
        <v>Asian</v>
      </c>
      <c r="Q177">
        <v>42.336831850000003</v>
      </c>
      <c r="R177">
        <v>-71.103809211180575</v>
      </c>
      <c r="S177" t="str">
        <f t="shared" si="6"/>
        <v/>
      </c>
    </row>
    <row r="178" spans="1:19">
      <c r="A178" t="s">
        <v>99</v>
      </c>
      <c r="B178" t="s">
        <v>100</v>
      </c>
      <c r="C178" t="s">
        <v>997</v>
      </c>
      <c r="D178" t="s">
        <v>888</v>
      </c>
      <c r="E178" t="str">
        <f t="shared" si="7"/>
        <v>Department of Orthopedic Surgery/ORTHO-Orthopaedic Surgery</v>
      </c>
      <c r="F178" t="s">
        <v>18</v>
      </c>
      <c r="G178" s="2" t="s">
        <v>866</v>
      </c>
      <c r="H178" t="s">
        <v>15</v>
      </c>
      <c r="I178" t="s">
        <v>11</v>
      </c>
      <c r="J178" s="1">
        <v>46934</v>
      </c>
      <c r="K178">
        <v>1</v>
      </c>
      <c r="L178" t="s">
        <v>972</v>
      </c>
      <c r="M178" t="s">
        <v>983</v>
      </c>
      <c r="N178" t="s">
        <v>11</v>
      </c>
      <c r="O178">
        <v>2023</v>
      </c>
      <c r="P178" t="str">
        <f t="shared" si="8"/>
        <v>Asian</v>
      </c>
      <c r="Q178">
        <v>32.874409200000002</v>
      </c>
      <c r="R178">
        <v>-117.23611849678871</v>
      </c>
      <c r="S178" t="str">
        <f t="shared" si="6"/>
        <v/>
      </c>
    </row>
    <row r="179" spans="1:19">
      <c r="A179" t="s">
        <v>473</v>
      </c>
      <c r="B179" t="s">
        <v>474</v>
      </c>
      <c r="C179" t="s">
        <v>988</v>
      </c>
      <c r="D179" t="s">
        <v>887</v>
      </c>
      <c r="E179" t="str">
        <f t="shared" si="7"/>
        <v>Department of Medicine/MED-Internal Medicine</v>
      </c>
      <c r="F179" t="s">
        <v>29</v>
      </c>
      <c r="G179" s="2" t="s">
        <v>866</v>
      </c>
      <c r="H179" t="s">
        <v>10</v>
      </c>
      <c r="I179" t="s">
        <v>21</v>
      </c>
      <c r="J179" s="1">
        <v>45831</v>
      </c>
      <c r="K179">
        <v>2</v>
      </c>
      <c r="L179" t="s">
        <v>972</v>
      </c>
      <c r="M179" t="s">
        <v>977</v>
      </c>
      <c r="N179" t="s">
        <v>21</v>
      </c>
      <c r="O179">
        <v>2023</v>
      </c>
      <c r="P179" t="str">
        <f t="shared" si="8"/>
        <v>White</v>
      </c>
      <c r="Q179">
        <v>39.745566599999997</v>
      </c>
      <c r="R179">
        <v>-104.8359873</v>
      </c>
      <c r="S179" t="str">
        <f t="shared" si="6"/>
        <v/>
      </c>
    </row>
    <row r="180" spans="1:19">
      <c r="A180" t="s">
        <v>414</v>
      </c>
      <c r="B180" t="s">
        <v>352</v>
      </c>
      <c r="C180" t="s">
        <v>996</v>
      </c>
      <c r="D180" t="s">
        <v>960</v>
      </c>
      <c r="E180" t="str">
        <f t="shared" si="7"/>
        <v>Department of Obstetrics &amp; Gynecology/OB/GYN-Obstetrics &amp; Gynecology</v>
      </c>
      <c r="F180" t="s">
        <v>29</v>
      </c>
      <c r="G180" s="2" t="s">
        <v>866</v>
      </c>
      <c r="H180" t="s">
        <v>10</v>
      </c>
      <c r="I180" t="s">
        <v>21</v>
      </c>
      <c r="J180" s="1">
        <v>46196</v>
      </c>
      <c r="K180">
        <v>2</v>
      </c>
      <c r="L180" t="s">
        <v>972</v>
      </c>
      <c r="M180" t="s">
        <v>983</v>
      </c>
      <c r="N180" t="s">
        <v>21</v>
      </c>
      <c r="O180">
        <v>2023</v>
      </c>
      <c r="P180" t="str">
        <f t="shared" si="8"/>
        <v>White</v>
      </c>
      <c r="Q180">
        <v>32.874409200000002</v>
      </c>
      <c r="R180">
        <v>-117.23611849678871</v>
      </c>
      <c r="S180" t="str">
        <f t="shared" si="6"/>
        <v/>
      </c>
    </row>
    <row r="181" spans="1:19">
      <c r="A181" t="s">
        <v>271</v>
      </c>
      <c r="B181" t="s">
        <v>272</v>
      </c>
      <c r="C181" t="s">
        <v>989</v>
      </c>
      <c r="D181" t="s">
        <v>894</v>
      </c>
      <c r="E181" t="str">
        <f t="shared" si="7"/>
        <v>Department of Surgery/SURG-Otolaryngology Head and Neck Surgery</v>
      </c>
      <c r="F181" t="s">
        <v>74</v>
      </c>
      <c r="G181" s="2" t="s">
        <v>866</v>
      </c>
      <c r="H181" t="s">
        <v>15</v>
      </c>
      <c r="I181" t="s">
        <v>11</v>
      </c>
      <c r="J181" s="1">
        <v>45831</v>
      </c>
      <c r="K181">
        <v>4</v>
      </c>
      <c r="L181" t="s">
        <v>972</v>
      </c>
      <c r="M181" t="s">
        <v>986</v>
      </c>
      <c r="N181" t="s">
        <v>11</v>
      </c>
      <c r="O181">
        <v>2023</v>
      </c>
      <c r="P181" t="str">
        <f t="shared" si="8"/>
        <v>Asian</v>
      </c>
      <c r="Q181">
        <v>36.005368400000002</v>
      </c>
      <c r="R181">
        <v>-78.938201699999993</v>
      </c>
      <c r="S181" t="str">
        <f t="shared" si="6"/>
        <v/>
      </c>
    </row>
    <row r="182" spans="1:19">
      <c r="A182" t="s">
        <v>682</v>
      </c>
      <c r="B182" t="s">
        <v>683</v>
      </c>
      <c r="C182" t="s">
        <v>996</v>
      </c>
      <c r="D182" t="s">
        <v>957</v>
      </c>
      <c r="E182" t="str">
        <f t="shared" si="7"/>
        <v>Department of Obstetrics &amp; Gynecology/OB/GYN-Gynecologic Oncology</v>
      </c>
      <c r="F182" t="s">
        <v>152</v>
      </c>
      <c r="G182" s="2" t="s">
        <v>865</v>
      </c>
      <c r="H182" t="s">
        <v>10</v>
      </c>
      <c r="I182" t="s">
        <v>11</v>
      </c>
      <c r="J182" s="1">
        <v>45473</v>
      </c>
      <c r="K182">
        <v>7</v>
      </c>
      <c r="L182" t="s">
        <v>972</v>
      </c>
      <c r="M182" t="s">
        <v>983</v>
      </c>
      <c r="N182" t="s">
        <v>11</v>
      </c>
      <c r="O182">
        <v>2023</v>
      </c>
      <c r="P182" t="str">
        <f t="shared" si="8"/>
        <v>Asian</v>
      </c>
      <c r="Q182">
        <v>32.874409200000002</v>
      </c>
      <c r="R182">
        <v>-117.23611849678871</v>
      </c>
      <c r="S182" t="str">
        <f t="shared" si="6"/>
        <v/>
      </c>
    </row>
    <row r="183" spans="1:19">
      <c r="A183" t="s">
        <v>620</v>
      </c>
      <c r="B183" t="s">
        <v>621</v>
      </c>
      <c r="C183" t="s">
        <v>992</v>
      </c>
      <c r="D183" t="s">
        <v>915</v>
      </c>
      <c r="E183" t="str">
        <f t="shared" si="7"/>
        <v>Department of Cardiac Surgery/CARDSURG-Thoracic Surgery-Integrated</v>
      </c>
      <c r="F183" t="s">
        <v>183</v>
      </c>
      <c r="G183" s="2" t="s">
        <v>866</v>
      </c>
      <c r="H183" t="s">
        <v>15</v>
      </c>
      <c r="I183" t="s">
        <v>11</v>
      </c>
      <c r="J183" s="1">
        <v>46568</v>
      </c>
      <c r="K183">
        <v>3</v>
      </c>
      <c r="L183" t="s">
        <v>972</v>
      </c>
      <c r="M183" t="s">
        <v>982</v>
      </c>
      <c r="N183" t="s">
        <v>11</v>
      </c>
      <c r="O183">
        <v>2023</v>
      </c>
      <c r="P183" t="str">
        <f t="shared" si="8"/>
        <v>Asian</v>
      </c>
      <c r="Q183">
        <v>40.841542800000013</v>
      </c>
      <c r="R183">
        <v>-73.94139229999999</v>
      </c>
      <c r="S183" t="str">
        <f t="shared" si="6"/>
        <v/>
      </c>
    </row>
    <row r="184" spans="1:19">
      <c r="A184" t="s">
        <v>845</v>
      </c>
      <c r="B184" t="s">
        <v>846</v>
      </c>
      <c r="C184" t="s">
        <v>991</v>
      </c>
      <c r="D184" t="s">
        <v>899</v>
      </c>
      <c r="E184" t="str">
        <f t="shared" si="7"/>
        <v>Department of Cardiology/CARD-Interventional Cardiology</v>
      </c>
      <c r="F184" t="s">
        <v>9</v>
      </c>
      <c r="G184" s="2" t="s">
        <v>865</v>
      </c>
      <c r="H184" t="s">
        <v>15</v>
      </c>
      <c r="I184" t="s">
        <v>21</v>
      </c>
      <c r="J184" s="1">
        <v>45473</v>
      </c>
      <c r="K184">
        <v>8</v>
      </c>
      <c r="L184" t="s">
        <v>972</v>
      </c>
      <c r="M184" t="s">
        <v>982</v>
      </c>
      <c r="N184" t="s">
        <v>21</v>
      </c>
      <c r="O184">
        <v>2023</v>
      </c>
      <c r="P184" t="str">
        <f t="shared" si="8"/>
        <v>White</v>
      </c>
      <c r="Q184">
        <v>40.841542800000013</v>
      </c>
      <c r="R184">
        <v>-73.94139229999999</v>
      </c>
      <c r="S184" t="str">
        <f t="shared" si="6"/>
        <v/>
      </c>
    </row>
    <row r="185" spans="1:19">
      <c r="A185" t="s">
        <v>656</v>
      </c>
      <c r="B185" t="s">
        <v>657</v>
      </c>
      <c r="C185" t="s">
        <v>988</v>
      </c>
      <c r="D185" t="s">
        <v>956</v>
      </c>
      <c r="E185" t="str">
        <f t="shared" si="7"/>
        <v>Department of Medicine/MED-Pulmonary/Critical Care Medicine</v>
      </c>
      <c r="F185" t="s">
        <v>14</v>
      </c>
      <c r="G185" s="2" t="s">
        <v>865</v>
      </c>
      <c r="H185" t="s">
        <v>10</v>
      </c>
      <c r="I185" t="s">
        <v>11</v>
      </c>
      <c r="J185" s="1">
        <v>45838</v>
      </c>
      <c r="K185">
        <v>5</v>
      </c>
      <c r="L185" t="s">
        <v>972</v>
      </c>
      <c r="M185" t="s">
        <v>978</v>
      </c>
      <c r="N185" t="s">
        <v>11</v>
      </c>
      <c r="O185">
        <v>2023</v>
      </c>
      <c r="P185" t="str">
        <f t="shared" si="8"/>
        <v>Asian</v>
      </c>
      <c r="Q185">
        <v>33.793635299999998</v>
      </c>
      <c r="R185">
        <v>-84.322179556478247</v>
      </c>
      <c r="S185" t="str">
        <f t="shared" si="6"/>
        <v/>
      </c>
    </row>
    <row r="186" spans="1:19">
      <c r="A186" t="s">
        <v>549</v>
      </c>
      <c r="B186" t="s">
        <v>46</v>
      </c>
      <c r="C186" t="s">
        <v>988</v>
      </c>
      <c r="D186" t="s">
        <v>887</v>
      </c>
      <c r="E186" t="str">
        <f t="shared" si="7"/>
        <v>Department of Medicine/MED-Internal Medicine</v>
      </c>
      <c r="F186" t="s">
        <v>18</v>
      </c>
      <c r="G186" s="2" t="s">
        <v>866</v>
      </c>
      <c r="H186" t="s">
        <v>15</v>
      </c>
      <c r="I186" t="s">
        <v>21</v>
      </c>
      <c r="J186" s="1">
        <v>46196</v>
      </c>
      <c r="K186">
        <v>1</v>
      </c>
      <c r="L186" t="s">
        <v>972</v>
      </c>
      <c r="M186" t="s">
        <v>978</v>
      </c>
      <c r="N186" t="s">
        <v>21</v>
      </c>
      <c r="O186">
        <v>2023</v>
      </c>
      <c r="P186" t="str">
        <f t="shared" si="8"/>
        <v>White</v>
      </c>
      <c r="Q186">
        <v>33.793635299999998</v>
      </c>
      <c r="R186">
        <v>-84.322179556478247</v>
      </c>
      <c r="S186" t="str">
        <f t="shared" si="6"/>
        <v/>
      </c>
    </row>
    <row r="187" spans="1:19">
      <c r="A187" t="s">
        <v>291</v>
      </c>
      <c r="B187" t="s">
        <v>292</v>
      </c>
      <c r="C187" t="s">
        <v>993</v>
      </c>
      <c r="D187" t="s">
        <v>917</v>
      </c>
      <c r="E187" t="str">
        <f t="shared" si="7"/>
        <v>Department of Neurology/NEURO-Neurology</v>
      </c>
      <c r="F187" t="s">
        <v>18</v>
      </c>
      <c r="G187" s="2" t="s">
        <v>866</v>
      </c>
      <c r="H187" t="s">
        <v>10</v>
      </c>
      <c r="I187" t="s">
        <v>96</v>
      </c>
      <c r="J187" s="1">
        <v>46196</v>
      </c>
      <c r="K187">
        <v>2</v>
      </c>
      <c r="L187" t="s">
        <v>972</v>
      </c>
      <c r="M187" t="s">
        <v>983</v>
      </c>
      <c r="N187" t="s">
        <v>966</v>
      </c>
      <c r="O187">
        <v>2023</v>
      </c>
      <c r="P187" t="str">
        <f t="shared" si="8"/>
        <v>Black or African American</v>
      </c>
      <c r="Q187">
        <v>32.874409200000002</v>
      </c>
      <c r="R187">
        <v>-117.23611849678871</v>
      </c>
      <c r="S187">
        <f t="shared" si="6"/>
        <v>1</v>
      </c>
    </row>
    <row r="188" spans="1:19">
      <c r="A188" t="s">
        <v>269</v>
      </c>
      <c r="B188" t="s">
        <v>270</v>
      </c>
      <c r="C188" t="s">
        <v>989</v>
      </c>
      <c r="D188" t="s">
        <v>894</v>
      </c>
      <c r="E188" t="str">
        <f t="shared" si="7"/>
        <v>Department of Surgery/SURG-Otolaryngology Head and Neck Surgery</v>
      </c>
      <c r="F188" t="s">
        <v>74</v>
      </c>
      <c r="G188" s="2" t="s">
        <v>866</v>
      </c>
      <c r="H188" t="s">
        <v>15</v>
      </c>
      <c r="I188" t="s">
        <v>11</v>
      </c>
      <c r="J188" s="1">
        <v>45831</v>
      </c>
      <c r="K188">
        <v>4</v>
      </c>
      <c r="L188" t="s">
        <v>972</v>
      </c>
      <c r="M188" t="s">
        <v>986</v>
      </c>
      <c r="N188" t="s">
        <v>11</v>
      </c>
      <c r="O188">
        <v>2023</v>
      </c>
      <c r="P188" t="str">
        <f t="shared" si="8"/>
        <v>Asian</v>
      </c>
      <c r="Q188">
        <v>36.005368400000002</v>
      </c>
      <c r="R188">
        <v>-78.938201699999993</v>
      </c>
      <c r="S188" t="str">
        <f t="shared" si="6"/>
        <v/>
      </c>
    </row>
    <row r="189" spans="1:19">
      <c r="A189" t="s">
        <v>60</v>
      </c>
      <c r="B189" t="s">
        <v>61</v>
      </c>
      <c r="C189" t="s">
        <v>991</v>
      </c>
      <c r="D189" t="s">
        <v>898</v>
      </c>
      <c r="E189" t="str">
        <f t="shared" si="7"/>
        <v>Department of Cardiology/CARD-Cardiovascular Disease</v>
      </c>
      <c r="F189" t="s">
        <v>14</v>
      </c>
      <c r="G189" s="2" t="s">
        <v>865</v>
      </c>
      <c r="H189" t="s">
        <v>10</v>
      </c>
      <c r="I189" t="s">
        <v>11</v>
      </c>
      <c r="J189" s="1">
        <v>45838</v>
      </c>
      <c r="K189">
        <v>5</v>
      </c>
      <c r="L189" t="s">
        <v>972</v>
      </c>
      <c r="M189" t="s">
        <v>982</v>
      </c>
      <c r="N189" t="s">
        <v>11</v>
      </c>
      <c r="O189">
        <v>2023</v>
      </c>
      <c r="P189" t="str">
        <f t="shared" si="8"/>
        <v>Asian</v>
      </c>
      <c r="Q189">
        <v>40.841542800000013</v>
      </c>
      <c r="R189">
        <v>-73.94139229999999</v>
      </c>
      <c r="S189" t="str">
        <f t="shared" si="6"/>
        <v/>
      </c>
    </row>
    <row r="190" spans="1:19">
      <c r="A190" t="s">
        <v>613</v>
      </c>
      <c r="B190" t="s">
        <v>614</v>
      </c>
      <c r="C190" t="s">
        <v>988</v>
      </c>
      <c r="D190" t="s">
        <v>903</v>
      </c>
      <c r="E190" t="str">
        <f t="shared" si="7"/>
        <v>Department of Medicine/MED-Gastroenterology</v>
      </c>
      <c r="F190" t="s">
        <v>152</v>
      </c>
      <c r="G190" s="2" t="s">
        <v>865</v>
      </c>
      <c r="H190" t="s">
        <v>10</v>
      </c>
      <c r="I190" t="s">
        <v>11</v>
      </c>
      <c r="J190" s="1">
        <v>45473</v>
      </c>
      <c r="K190">
        <v>6</v>
      </c>
      <c r="L190" t="s">
        <v>972</v>
      </c>
      <c r="M190" t="s">
        <v>984</v>
      </c>
      <c r="N190" t="s">
        <v>11</v>
      </c>
      <c r="O190">
        <v>2023</v>
      </c>
      <c r="P190" t="str">
        <f t="shared" si="8"/>
        <v>Asian</v>
      </c>
      <c r="Q190">
        <v>34.061138</v>
      </c>
      <c r="R190">
        <v>-118.2057365</v>
      </c>
      <c r="S190" t="str">
        <f t="shared" si="6"/>
        <v/>
      </c>
    </row>
    <row r="191" spans="1:19">
      <c r="A191" t="s">
        <v>516</v>
      </c>
      <c r="B191" t="s">
        <v>517</v>
      </c>
      <c r="C191" t="s">
        <v>996</v>
      </c>
      <c r="D191" t="s">
        <v>960</v>
      </c>
      <c r="E191" t="str">
        <f t="shared" si="7"/>
        <v>Department of Obstetrics &amp; Gynecology/OB/GYN-Obstetrics &amp; Gynecology</v>
      </c>
      <c r="F191" t="s">
        <v>18</v>
      </c>
      <c r="G191" s="2" t="s">
        <v>866</v>
      </c>
      <c r="H191" t="s">
        <v>10</v>
      </c>
      <c r="I191" t="s">
        <v>11</v>
      </c>
      <c r="J191" s="1">
        <v>46561</v>
      </c>
      <c r="K191">
        <v>1</v>
      </c>
      <c r="L191" t="s">
        <v>972</v>
      </c>
      <c r="M191" t="s">
        <v>983</v>
      </c>
      <c r="N191" t="s">
        <v>11</v>
      </c>
      <c r="O191">
        <v>2023</v>
      </c>
      <c r="P191" t="str">
        <f t="shared" si="8"/>
        <v>Asian</v>
      </c>
      <c r="Q191">
        <v>32.874409200000002</v>
      </c>
      <c r="R191">
        <v>-117.23611849678871</v>
      </c>
      <c r="S191" t="str">
        <f t="shared" si="6"/>
        <v/>
      </c>
    </row>
    <row r="192" spans="1:19">
      <c r="A192" t="s">
        <v>435</v>
      </c>
      <c r="B192" t="s">
        <v>436</v>
      </c>
      <c r="C192" t="s">
        <v>988</v>
      </c>
      <c r="D192" t="s">
        <v>887</v>
      </c>
      <c r="E192" t="str">
        <f t="shared" si="7"/>
        <v>Department of Medicine/MED-Internal Medicine</v>
      </c>
      <c r="F192" t="s">
        <v>29</v>
      </c>
      <c r="G192" s="2" t="s">
        <v>866</v>
      </c>
      <c r="H192" t="s">
        <v>15</v>
      </c>
      <c r="I192" t="s">
        <v>437</v>
      </c>
      <c r="J192" s="1">
        <v>45831</v>
      </c>
      <c r="K192">
        <v>2</v>
      </c>
      <c r="L192" t="s">
        <v>972</v>
      </c>
      <c r="M192" t="s">
        <v>981</v>
      </c>
      <c r="N192" t="s">
        <v>966</v>
      </c>
      <c r="O192">
        <v>2023</v>
      </c>
      <c r="P192" t="str">
        <f t="shared" si="8"/>
        <v>American Indian or Alaskan Native</v>
      </c>
      <c r="Q192">
        <v>42.336831850000003</v>
      </c>
      <c r="R192">
        <v>-71.103809211180575</v>
      </c>
      <c r="S192">
        <f t="shared" si="6"/>
        <v>1</v>
      </c>
    </row>
    <row r="193" spans="1:19">
      <c r="A193" t="s">
        <v>349</v>
      </c>
      <c r="B193" t="s">
        <v>673</v>
      </c>
      <c r="C193" t="s">
        <v>1000</v>
      </c>
      <c r="D193" t="s">
        <v>916</v>
      </c>
      <c r="E193" t="str">
        <f t="shared" si="7"/>
        <v>Department of Imaging/IMG-Diagnostic Radiology</v>
      </c>
      <c r="F193" t="s">
        <v>18</v>
      </c>
      <c r="G193" s="2" t="s">
        <v>866</v>
      </c>
      <c r="H193" t="s">
        <v>10</v>
      </c>
      <c r="I193" t="s">
        <v>163</v>
      </c>
      <c r="J193" s="1">
        <v>46568</v>
      </c>
      <c r="K193">
        <v>2</v>
      </c>
      <c r="L193" t="s">
        <v>972</v>
      </c>
      <c r="M193" t="s">
        <v>984</v>
      </c>
      <c r="N193" t="s">
        <v>11</v>
      </c>
      <c r="O193">
        <v>2023</v>
      </c>
      <c r="P193" t="s">
        <v>11</v>
      </c>
      <c r="Q193">
        <v>34.061138</v>
      </c>
      <c r="R193">
        <v>-118.2057365</v>
      </c>
      <c r="S193" t="str">
        <f t="shared" si="6"/>
        <v/>
      </c>
    </row>
    <row r="194" spans="1:19">
      <c r="A194" t="s">
        <v>284</v>
      </c>
      <c r="B194" t="s">
        <v>285</v>
      </c>
      <c r="C194" t="s">
        <v>989</v>
      </c>
      <c r="D194" t="s">
        <v>889</v>
      </c>
      <c r="E194" t="str">
        <f t="shared" si="7"/>
        <v>Department of Surgery/SURG-Surgery</v>
      </c>
      <c r="F194" t="s">
        <v>24</v>
      </c>
      <c r="G194" t="s">
        <v>969</v>
      </c>
      <c r="H194" t="s">
        <v>10</v>
      </c>
      <c r="I194" t="s">
        <v>11</v>
      </c>
      <c r="J194" s="1">
        <v>46927</v>
      </c>
      <c r="K194">
        <v>2</v>
      </c>
      <c r="L194" t="s">
        <v>972</v>
      </c>
      <c r="M194" t="s">
        <v>986</v>
      </c>
      <c r="N194" t="s">
        <v>11</v>
      </c>
      <c r="O194">
        <v>2023</v>
      </c>
      <c r="P194" t="str">
        <f t="shared" si="8"/>
        <v>Asian</v>
      </c>
      <c r="Q194">
        <v>36.005368400000002</v>
      </c>
      <c r="R194">
        <v>-78.938201699999993</v>
      </c>
      <c r="S194" t="str">
        <f t="shared" ref="S194:S257" si="9">IF(N194="URM",1,"")</f>
        <v/>
      </c>
    </row>
    <row r="195" spans="1:19">
      <c r="A195" t="s">
        <v>616</v>
      </c>
      <c r="B195" t="s">
        <v>617</v>
      </c>
      <c r="C195" t="s">
        <v>988</v>
      </c>
      <c r="D195" t="s">
        <v>956</v>
      </c>
      <c r="E195" t="str">
        <f t="shared" ref="E195:E258" si="10">C195&amp;"/"&amp;D195</f>
        <v>Department of Medicine/MED-Pulmonary/Critical Care Medicine</v>
      </c>
      <c r="F195" t="s">
        <v>152</v>
      </c>
      <c r="G195" s="2" t="s">
        <v>865</v>
      </c>
      <c r="H195" t="s">
        <v>10</v>
      </c>
      <c r="I195" t="s">
        <v>80</v>
      </c>
      <c r="J195" s="1">
        <v>45473</v>
      </c>
      <c r="K195">
        <v>6</v>
      </c>
      <c r="L195" t="s">
        <v>972</v>
      </c>
      <c r="M195" t="s">
        <v>978</v>
      </c>
      <c r="N195" t="s">
        <v>80</v>
      </c>
      <c r="O195">
        <v>2023</v>
      </c>
      <c r="P195" t="str">
        <f t="shared" ref="P195:P258" si="11">I195</f>
        <v>Other</v>
      </c>
      <c r="Q195">
        <v>33.793635299999998</v>
      </c>
      <c r="R195">
        <v>-84.322179556478247</v>
      </c>
      <c r="S195" t="str">
        <f t="shared" si="9"/>
        <v/>
      </c>
    </row>
    <row r="196" spans="1:19">
      <c r="A196" t="s">
        <v>773</v>
      </c>
      <c r="B196" t="s">
        <v>774</v>
      </c>
      <c r="C196" t="s">
        <v>993</v>
      </c>
      <c r="D196" t="s">
        <v>922</v>
      </c>
      <c r="E196" t="str">
        <f t="shared" si="10"/>
        <v>Department of Neurology/NEURO-Vascular Neurology</v>
      </c>
      <c r="F196" t="s">
        <v>9</v>
      </c>
      <c r="G196" s="2" t="s">
        <v>865</v>
      </c>
      <c r="H196" t="s">
        <v>15</v>
      </c>
      <c r="I196" t="s">
        <v>11</v>
      </c>
      <c r="J196" s="1">
        <v>45473</v>
      </c>
      <c r="K196">
        <v>6</v>
      </c>
      <c r="L196" t="s">
        <v>972</v>
      </c>
      <c r="M196" t="s">
        <v>983</v>
      </c>
      <c r="N196" t="s">
        <v>11</v>
      </c>
      <c r="O196">
        <v>2023</v>
      </c>
      <c r="P196" t="str">
        <f t="shared" si="11"/>
        <v>Asian</v>
      </c>
      <c r="Q196">
        <v>32.874409200000002</v>
      </c>
      <c r="R196">
        <v>-117.23611849678871</v>
      </c>
      <c r="S196" t="str">
        <f t="shared" si="9"/>
        <v/>
      </c>
    </row>
    <row r="197" spans="1:19">
      <c r="A197" t="s">
        <v>363</v>
      </c>
      <c r="B197" t="s">
        <v>364</v>
      </c>
      <c r="C197" t="s">
        <v>988</v>
      </c>
      <c r="D197" t="s">
        <v>887</v>
      </c>
      <c r="E197" t="str">
        <f t="shared" si="10"/>
        <v>Department of Medicine/MED-Internal Medicine</v>
      </c>
      <c r="F197" t="s">
        <v>183</v>
      </c>
      <c r="G197" s="2" t="s">
        <v>866</v>
      </c>
      <c r="H197" t="s">
        <v>10</v>
      </c>
      <c r="I197" t="s">
        <v>11</v>
      </c>
      <c r="J197" s="1">
        <v>45466</v>
      </c>
      <c r="K197">
        <v>3</v>
      </c>
      <c r="L197" t="s">
        <v>972</v>
      </c>
      <c r="M197" t="s">
        <v>981</v>
      </c>
      <c r="N197" t="s">
        <v>11</v>
      </c>
      <c r="O197">
        <v>2023</v>
      </c>
      <c r="P197" t="str">
        <f t="shared" si="11"/>
        <v>Asian</v>
      </c>
      <c r="Q197">
        <v>42.336831850000003</v>
      </c>
      <c r="R197">
        <v>-71.103809211180575</v>
      </c>
      <c r="S197" t="str">
        <f t="shared" si="9"/>
        <v/>
      </c>
    </row>
    <row r="198" spans="1:19">
      <c r="A198" t="s">
        <v>304</v>
      </c>
      <c r="B198" t="s">
        <v>118</v>
      </c>
      <c r="C198" t="s">
        <v>988</v>
      </c>
      <c r="D198" t="s">
        <v>887</v>
      </c>
      <c r="E198" t="str">
        <f t="shared" si="10"/>
        <v>Department of Medicine/MED-Internal Medicine</v>
      </c>
      <c r="F198" t="s">
        <v>29</v>
      </c>
      <c r="G198" s="2" t="s">
        <v>866</v>
      </c>
      <c r="H198" t="s">
        <v>15</v>
      </c>
      <c r="I198" t="s">
        <v>21</v>
      </c>
      <c r="J198" s="1">
        <v>45831</v>
      </c>
      <c r="K198">
        <v>2</v>
      </c>
      <c r="L198" t="s">
        <v>972</v>
      </c>
      <c r="M198" t="s">
        <v>978</v>
      </c>
      <c r="N198" t="s">
        <v>21</v>
      </c>
      <c r="O198">
        <v>2023</v>
      </c>
      <c r="P198" t="str">
        <f t="shared" si="11"/>
        <v>White</v>
      </c>
      <c r="Q198">
        <v>33.793635299999998</v>
      </c>
      <c r="R198">
        <v>-84.322179556478247</v>
      </c>
      <c r="S198" t="str">
        <f t="shared" si="9"/>
        <v/>
      </c>
    </row>
    <row r="199" spans="1:19">
      <c r="A199" t="s">
        <v>383</v>
      </c>
      <c r="B199" t="s">
        <v>384</v>
      </c>
      <c r="C199" t="s">
        <v>988</v>
      </c>
      <c r="D199" t="s">
        <v>887</v>
      </c>
      <c r="E199" t="str">
        <f t="shared" si="10"/>
        <v>Department of Medicine/MED-Internal Medicine</v>
      </c>
      <c r="F199" t="s">
        <v>183</v>
      </c>
      <c r="G199" s="2" t="s">
        <v>866</v>
      </c>
      <c r="H199" t="s">
        <v>15</v>
      </c>
      <c r="I199" t="s">
        <v>47</v>
      </c>
      <c r="J199" s="1">
        <v>45466</v>
      </c>
      <c r="K199">
        <v>3</v>
      </c>
      <c r="L199" t="s">
        <v>972</v>
      </c>
      <c r="M199" t="s">
        <v>977</v>
      </c>
      <c r="N199" t="s">
        <v>80</v>
      </c>
      <c r="O199">
        <v>2023</v>
      </c>
      <c r="P199" t="s">
        <v>80</v>
      </c>
      <c r="Q199">
        <v>39.745566599999997</v>
      </c>
      <c r="R199">
        <v>-104.8359873</v>
      </c>
      <c r="S199" t="str">
        <f t="shared" si="9"/>
        <v/>
      </c>
    </row>
    <row r="200" spans="1:19">
      <c r="A200" t="s">
        <v>599</v>
      </c>
      <c r="B200" t="s">
        <v>600</v>
      </c>
      <c r="C200" t="s">
        <v>988</v>
      </c>
      <c r="D200" t="s">
        <v>956</v>
      </c>
      <c r="E200" t="str">
        <f t="shared" si="10"/>
        <v>Department of Medicine/MED-Pulmonary/Critical Care Medicine</v>
      </c>
      <c r="F200" t="s">
        <v>152</v>
      </c>
      <c r="G200" s="2" t="s">
        <v>865</v>
      </c>
      <c r="H200" t="s">
        <v>15</v>
      </c>
      <c r="I200" t="s">
        <v>80</v>
      </c>
      <c r="J200" s="1">
        <v>45473</v>
      </c>
      <c r="K200">
        <v>6</v>
      </c>
      <c r="L200" t="s">
        <v>972</v>
      </c>
      <c r="M200" t="s">
        <v>978</v>
      </c>
      <c r="N200" t="s">
        <v>80</v>
      </c>
      <c r="O200">
        <v>2023</v>
      </c>
      <c r="P200" t="str">
        <f t="shared" si="11"/>
        <v>Other</v>
      </c>
      <c r="Q200">
        <v>33.793635299999998</v>
      </c>
      <c r="R200">
        <v>-84.322179556478247</v>
      </c>
      <c r="S200" t="str">
        <f t="shared" si="9"/>
        <v/>
      </c>
    </row>
    <row r="201" spans="1:19">
      <c r="A201" t="s">
        <v>119</v>
      </c>
      <c r="B201" t="s">
        <v>120</v>
      </c>
      <c r="C201" t="s">
        <v>990</v>
      </c>
      <c r="D201" t="s">
        <v>891</v>
      </c>
      <c r="E201" t="str">
        <f t="shared" si="10"/>
        <v>Department of Anesthesia/ANES-Pain Medicine</v>
      </c>
      <c r="F201" t="s">
        <v>9</v>
      </c>
      <c r="G201" s="2" t="s">
        <v>865</v>
      </c>
      <c r="H201" t="s">
        <v>15</v>
      </c>
      <c r="I201" t="s">
        <v>21</v>
      </c>
      <c r="J201" s="1">
        <v>45504</v>
      </c>
      <c r="K201">
        <v>5</v>
      </c>
      <c r="L201" t="s">
        <v>972</v>
      </c>
      <c r="M201" t="s">
        <v>982</v>
      </c>
      <c r="N201" t="s">
        <v>21</v>
      </c>
      <c r="O201">
        <v>2023</v>
      </c>
      <c r="P201" t="str">
        <f t="shared" si="11"/>
        <v>White</v>
      </c>
      <c r="Q201">
        <v>40.841542800000013</v>
      </c>
      <c r="R201">
        <v>-73.94139229999999</v>
      </c>
      <c r="S201" t="str">
        <f t="shared" si="9"/>
        <v/>
      </c>
    </row>
    <row r="202" spans="1:19">
      <c r="A202" t="s">
        <v>70</v>
      </c>
      <c r="B202" t="s">
        <v>303</v>
      </c>
      <c r="C202" t="s">
        <v>988</v>
      </c>
      <c r="D202" t="s">
        <v>887</v>
      </c>
      <c r="E202" t="str">
        <f t="shared" si="10"/>
        <v>Department of Medicine/MED-Internal Medicine</v>
      </c>
      <c r="F202" t="s">
        <v>29</v>
      </c>
      <c r="G202" s="2" t="s">
        <v>866</v>
      </c>
      <c r="H202" t="s">
        <v>15</v>
      </c>
      <c r="I202" t="s">
        <v>11</v>
      </c>
      <c r="J202" s="1">
        <v>45831</v>
      </c>
      <c r="K202">
        <v>2</v>
      </c>
      <c r="L202" t="s">
        <v>972</v>
      </c>
      <c r="M202" t="s">
        <v>986</v>
      </c>
      <c r="N202" t="s">
        <v>11</v>
      </c>
      <c r="O202">
        <v>2023</v>
      </c>
      <c r="P202" t="str">
        <f t="shared" si="11"/>
        <v>Asian</v>
      </c>
      <c r="Q202">
        <v>36.005368400000002</v>
      </c>
      <c r="R202">
        <v>-78.938201699999993</v>
      </c>
      <c r="S202" t="str">
        <f t="shared" si="9"/>
        <v/>
      </c>
    </row>
    <row r="203" spans="1:19">
      <c r="A203" t="s">
        <v>70</v>
      </c>
      <c r="B203" t="s">
        <v>809</v>
      </c>
      <c r="C203" t="s">
        <v>993</v>
      </c>
      <c r="D203" t="s">
        <v>913</v>
      </c>
      <c r="E203" t="str">
        <f t="shared" si="10"/>
        <v>Department of Neurology/NEURO-Behavioral Neurology &amp; Neuropsychiatry</v>
      </c>
      <c r="F203" t="s">
        <v>9</v>
      </c>
      <c r="G203" t="s">
        <v>969</v>
      </c>
      <c r="H203" t="s">
        <v>10</v>
      </c>
      <c r="I203" t="s">
        <v>11</v>
      </c>
      <c r="J203" s="1">
        <v>45473</v>
      </c>
      <c r="K203">
        <v>6</v>
      </c>
      <c r="L203" t="s">
        <v>972</v>
      </c>
      <c r="M203" t="s">
        <v>978</v>
      </c>
      <c r="N203" t="s">
        <v>11</v>
      </c>
      <c r="O203">
        <v>2023</v>
      </c>
      <c r="P203" t="str">
        <f t="shared" si="11"/>
        <v>Asian</v>
      </c>
      <c r="Q203">
        <v>33.793635299999998</v>
      </c>
      <c r="R203">
        <v>-84.322179556478247</v>
      </c>
      <c r="S203" t="str">
        <f t="shared" si="9"/>
        <v/>
      </c>
    </row>
    <row r="204" spans="1:19">
      <c r="A204" t="s">
        <v>70</v>
      </c>
      <c r="B204" t="s">
        <v>71</v>
      </c>
      <c r="C204" t="s">
        <v>993</v>
      </c>
      <c r="D204" t="s">
        <v>917</v>
      </c>
      <c r="E204" t="str">
        <f t="shared" si="10"/>
        <v>Department of Neurology/NEURO-Neurology</v>
      </c>
      <c r="F204" t="s">
        <v>29</v>
      </c>
      <c r="G204" s="2" t="s">
        <v>866</v>
      </c>
      <c r="H204" t="s">
        <v>10</v>
      </c>
      <c r="I204" t="s">
        <v>11</v>
      </c>
      <c r="J204" s="1">
        <v>45838</v>
      </c>
      <c r="K204">
        <v>3</v>
      </c>
      <c r="L204" t="s">
        <v>972</v>
      </c>
      <c r="M204" t="s">
        <v>978</v>
      </c>
      <c r="N204" t="s">
        <v>11</v>
      </c>
      <c r="O204">
        <v>2023</v>
      </c>
      <c r="P204" t="str">
        <f t="shared" si="11"/>
        <v>Asian</v>
      </c>
      <c r="Q204">
        <v>33.793635299999998</v>
      </c>
      <c r="R204">
        <v>-84.322179556478247</v>
      </c>
      <c r="S204" t="str">
        <f t="shared" si="9"/>
        <v/>
      </c>
    </row>
    <row r="205" spans="1:19">
      <c r="A205" t="s">
        <v>70</v>
      </c>
      <c r="B205" t="s">
        <v>283</v>
      </c>
      <c r="C205" t="s">
        <v>993</v>
      </c>
      <c r="D205" t="s">
        <v>917</v>
      </c>
      <c r="E205" t="str">
        <f t="shared" si="10"/>
        <v>Department of Neurology/NEURO-Neurology</v>
      </c>
      <c r="F205" t="s">
        <v>18</v>
      </c>
      <c r="G205" s="2" t="s">
        <v>866</v>
      </c>
      <c r="H205" t="s">
        <v>15</v>
      </c>
      <c r="I205" t="s">
        <v>11</v>
      </c>
      <c r="J205" s="1">
        <v>46196</v>
      </c>
      <c r="K205">
        <v>2</v>
      </c>
      <c r="L205" t="s">
        <v>972</v>
      </c>
      <c r="M205" t="s">
        <v>978</v>
      </c>
      <c r="N205" t="s">
        <v>11</v>
      </c>
      <c r="O205">
        <v>2023</v>
      </c>
      <c r="P205" t="str">
        <f t="shared" si="11"/>
        <v>Asian</v>
      </c>
      <c r="Q205">
        <v>33.793635299999998</v>
      </c>
      <c r="R205">
        <v>-84.322179556478247</v>
      </c>
      <c r="S205" t="str">
        <f t="shared" si="9"/>
        <v/>
      </c>
    </row>
    <row r="206" spans="1:19">
      <c r="A206" t="s">
        <v>70</v>
      </c>
      <c r="B206" t="s">
        <v>129</v>
      </c>
      <c r="C206" t="s">
        <v>996</v>
      </c>
      <c r="D206" t="s">
        <v>960</v>
      </c>
      <c r="E206" t="str">
        <f t="shared" si="10"/>
        <v>Department of Obstetrics &amp; Gynecology/OB/GYN-Obstetrics &amp; Gynecology</v>
      </c>
      <c r="F206" t="s">
        <v>183</v>
      </c>
      <c r="G206" s="2" t="s">
        <v>866</v>
      </c>
      <c r="H206" t="s">
        <v>15</v>
      </c>
      <c r="I206" t="s">
        <v>11</v>
      </c>
      <c r="J206" s="1">
        <v>45831</v>
      </c>
      <c r="K206">
        <v>3</v>
      </c>
      <c r="L206" t="s">
        <v>972</v>
      </c>
      <c r="M206" t="s">
        <v>981</v>
      </c>
      <c r="N206" t="s">
        <v>11</v>
      </c>
      <c r="O206">
        <v>2023</v>
      </c>
      <c r="P206" t="str">
        <f t="shared" si="11"/>
        <v>Asian</v>
      </c>
      <c r="Q206">
        <v>42.336831850000003</v>
      </c>
      <c r="R206">
        <v>-71.103809211180575</v>
      </c>
      <c r="S206" t="str">
        <f t="shared" si="9"/>
        <v/>
      </c>
    </row>
    <row r="207" spans="1:19">
      <c r="A207" t="s">
        <v>70</v>
      </c>
      <c r="B207" t="s">
        <v>162</v>
      </c>
      <c r="C207" t="s">
        <v>994</v>
      </c>
      <c r="D207" t="s">
        <v>908</v>
      </c>
      <c r="E207" t="str">
        <f t="shared" si="10"/>
        <v>Department of Pathology/PATH-Dermatopathology</v>
      </c>
      <c r="F207" t="s">
        <v>9</v>
      </c>
      <c r="G207" s="2" t="s">
        <v>865</v>
      </c>
      <c r="H207" t="s">
        <v>10</v>
      </c>
      <c r="I207" t="s">
        <v>11</v>
      </c>
      <c r="J207" s="1">
        <v>45473</v>
      </c>
      <c r="K207">
        <v>5</v>
      </c>
      <c r="L207" t="s">
        <v>972</v>
      </c>
      <c r="M207" t="s">
        <v>983</v>
      </c>
      <c r="N207" t="s">
        <v>11</v>
      </c>
      <c r="O207">
        <v>2023</v>
      </c>
      <c r="P207" t="str">
        <f t="shared" si="11"/>
        <v>Asian</v>
      </c>
      <c r="Q207">
        <v>32.874409200000002</v>
      </c>
      <c r="R207">
        <v>-117.23611849678871</v>
      </c>
      <c r="S207" t="str">
        <f t="shared" si="9"/>
        <v/>
      </c>
    </row>
    <row r="208" spans="1:19">
      <c r="A208" t="s">
        <v>756</v>
      </c>
      <c r="B208" t="s">
        <v>673</v>
      </c>
      <c r="C208" t="s">
        <v>988</v>
      </c>
      <c r="D208" t="s">
        <v>900</v>
      </c>
      <c r="E208" t="str">
        <f t="shared" si="10"/>
        <v>Department of Medicine/MED-Clinical informatics</v>
      </c>
      <c r="F208" t="s">
        <v>14</v>
      </c>
      <c r="G208" s="2" t="s">
        <v>865</v>
      </c>
      <c r="H208" t="s">
        <v>10</v>
      </c>
      <c r="I208" t="s">
        <v>11</v>
      </c>
      <c r="J208" s="1">
        <v>45473</v>
      </c>
      <c r="K208">
        <v>6</v>
      </c>
      <c r="L208" t="s">
        <v>972</v>
      </c>
      <c r="M208" t="s">
        <v>984</v>
      </c>
      <c r="N208" t="s">
        <v>11</v>
      </c>
      <c r="O208">
        <v>2023</v>
      </c>
      <c r="P208" t="str">
        <f t="shared" si="11"/>
        <v>Asian</v>
      </c>
      <c r="Q208">
        <v>34.061138</v>
      </c>
      <c r="R208">
        <v>-118.2057365</v>
      </c>
      <c r="S208" t="str">
        <f t="shared" si="9"/>
        <v/>
      </c>
    </row>
    <row r="209" spans="1:19">
      <c r="A209" t="s">
        <v>554</v>
      </c>
      <c r="B209" t="s">
        <v>555</v>
      </c>
      <c r="C209" t="s">
        <v>988</v>
      </c>
      <c r="D209" t="s">
        <v>887</v>
      </c>
      <c r="E209" t="str">
        <f t="shared" si="10"/>
        <v>Department of Medicine/MED-Internal Medicine</v>
      </c>
      <c r="F209" t="s">
        <v>18</v>
      </c>
      <c r="G209" s="2" t="s">
        <v>866</v>
      </c>
      <c r="H209" t="s">
        <v>10</v>
      </c>
      <c r="I209" t="s">
        <v>21</v>
      </c>
      <c r="J209" s="1">
        <v>46196</v>
      </c>
      <c r="K209">
        <v>1</v>
      </c>
      <c r="L209" t="s">
        <v>972</v>
      </c>
      <c r="M209" t="s">
        <v>977</v>
      </c>
      <c r="N209" t="s">
        <v>21</v>
      </c>
      <c r="O209">
        <v>2023</v>
      </c>
      <c r="P209" t="str">
        <f t="shared" si="11"/>
        <v>White</v>
      </c>
      <c r="Q209">
        <v>39.745566599999997</v>
      </c>
      <c r="R209">
        <v>-104.8359873</v>
      </c>
      <c r="S209" t="str">
        <f t="shared" si="9"/>
        <v/>
      </c>
    </row>
    <row r="210" spans="1:19">
      <c r="A210" t="s">
        <v>309</v>
      </c>
      <c r="B210" t="s">
        <v>310</v>
      </c>
      <c r="C210" t="s">
        <v>994</v>
      </c>
      <c r="D210" t="s">
        <v>919</v>
      </c>
      <c r="E210" t="str">
        <f t="shared" si="10"/>
        <v>Department of Pathology/PATH-Pathology</v>
      </c>
      <c r="F210" t="s">
        <v>18</v>
      </c>
      <c r="G210" s="2" t="s">
        <v>866</v>
      </c>
      <c r="H210" t="s">
        <v>10</v>
      </c>
      <c r="I210" t="s">
        <v>21</v>
      </c>
      <c r="J210" s="1">
        <v>46561</v>
      </c>
      <c r="K210">
        <v>1</v>
      </c>
      <c r="L210" t="s">
        <v>972</v>
      </c>
      <c r="M210" t="s">
        <v>986</v>
      </c>
      <c r="N210" t="s">
        <v>21</v>
      </c>
      <c r="O210">
        <v>2023</v>
      </c>
      <c r="P210" t="str">
        <f t="shared" si="11"/>
        <v>White</v>
      </c>
      <c r="Q210">
        <v>36.005368400000002</v>
      </c>
      <c r="R210">
        <v>-78.938201699999993</v>
      </c>
      <c r="S210" t="str">
        <f t="shared" si="9"/>
        <v/>
      </c>
    </row>
    <row r="211" spans="1:19">
      <c r="A211" t="s">
        <v>783</v>
      </c>
      <c r="B211" t="s">
        <v>513</v>
      </c>
      <c r="C211" t="s">
        <v>988</v>
      </c>
      <c r="D211" t="s">
        <v>901</v>
      </c>
      <c r="E211" t="str">
        <f t="shared" si="10"/>
        <v>Department of Medicine/MED-Endocrinology</v>
      </c>
      <c r="F211" t="s">
        <v>9</v>
      </c>
      <c r="G211" s="2" t="s">
        <v>865</v>
      </c>
      <c r="H211" t="s">
        <v>10</v>
      </c>
      <c r="I211" t="s">
        <v>11</v>
      </c>
      <c r="J211" s="1">
        <v>45838</v>
      </c>
      <c r="K211">
        <v>4</v>
      </c>
      <c r="L211" t="s">
        <v>972</v>
      </c>
      <c r="M211" t="s">
        <v>984</v>
      </c>
      <c r="N211" t="s">
        <v>11</v>
      </c>
      <c r="O211">
        <v>2023</v>
      </c>
      <c r="P211" t="str">
        <f t="shared" si="11"/>
        <v>Asian</v>
      </c>
      <c r="Q211">
        <v>34.061138</v>
      </c>
      <c r="R211">
        <v>-118.2057365</v>
      </c>
      <c r="S211" t="str">
        <f t="shared" si="9"/>
        <v/>
      </c>
    </row>
    <row r="212" spans="1:19">
      <c r="A212" t="s">
        <v>336</v>
      </c>
      <c r="B212" t="s">
        <v>337</v>
      </c>
      <c r="C212" t="s">
        <v>996</v>
      </c>
      <c r="D212" t="s">
        <v>960</v>
      </c>
      <c r="E212" t="str">
        <f t="shared" si="10"/>
        <v>Department of Obstetrics &amp; Gynecology/OB/GYN-Obstetrics &amp; Gynecology</v>
      </c>
      <c r="F212" t="s">
        <v>183</v>
      </c>
      <c r="G212" s="2" t="s">
        <v>866</v>
      </c>
      <c r="H212" t="s">
        <v>10</v>
      </c>
      <c r="I212" t="s">
        <v>96</v>
      </c>
      <c r="J212" s="1">
        <v>45831</v>
      </c>
      <c r="K212">
        <v>3</v>
      </c>
      <c r="L212" t="s">
        <v>972</v>
      </c>
      <c r="M212" t="s">
        <v>983</v>
      </c>
      <c r="N212" t="s">
        <v>966</v>
      </c>
      <c r="O212">
        <v>2023</v>
      </c>
      <c r="P212" t="str">
        <f t="shared" si="11"/>
        <v>Black or African American</v>
      </c>
      <c r="Q212">
        <v>32.874409200000002</v>
      </c>
      <c r="R212">
        <v>-117.23611849678871</v>
      </c>
      <c r="S212">
        <f t="shared" si="9"/>
        <v>1</v>
      </c>
    </row>
    <row r="213" spans="1:19">
      <c r="A213" t="s">
        <v>293</v>
      </c>
      <c r="B213" t="s">
        <v>294</v>
      </c>
      <c r="C213" t="s">
        <v>993</v>
      </c>
      <c r="D213" t="s">
        <v>917</v>
      </c>
      <c r="E213" t="str">
        <f t="shared" si="10"/>
        <v>Department of Neurology/NEURO-Neurology</v>
      </c>
      <c r="F213" t="s">
        <v>18</v>
      </c>
      <c r="G213" s="2" t="s">
        <v>866</v>
      </c>
      <c r="H213" t="s">
        <v>15</v>
      </c>
      <c r="I213" t="s">
        <v>21</v>
      </c>
      <c r="J213" s="1">
        <v>46196</v>
      </c>
      <c r="K213">
        <v>2</v>
      </c>
      <c r="L213" t="s">
        <v>972</v>
      </c>
      <c r="M213" t="s">
        <v>983</v>
      </c>
      <c r="N213" t="s">
        <v>21</v>
      </c>
      <c r="O213">
        <v>2023</v>
      </c>
      <c r="P213" t="str">
        <f t="shared" si="11"/>
        <v>White</v>
      </c>
      <c r="Q213">
        <v>32.874409200000002</v>
      </c>
      <c r="R213">
        <v>-117.23611849678871</v>
      </c>
      <c r="S213" t="str">
        <f t="shared" si="9"/>
        <v/>
      </c>
    </row>
    <row r="214" spans="1:19">
      <c r="A214" t="s">
        <v>133</v>
      </c>
      <c r="B214" t="s">
        <v>134</v>
      </c>
      <c r="C214" t="s">
        <v>996</v>
      </c>
      <c r="D214" t="s">
        <v>961</v>
      </c>
      <c r="E214" t="str">
        <f t="shared" si="10"/>
        <v>Department of Obstetrics &amp; Gynecology/OB/GYN-Reproductive Endocrinology and Infertility</v>
      </c>
      <c r="F214" t="s">
        <v>9</v>
      </c>
      <c r="G214" s="2" t="s">
        <v>865</v>
      </c>
      <c r="H214" t="s">
        <v>10</v>
      </c>
      <c r="I214" t="s">
        <v>83</v>
      </c>
      <c r="J214" s="1">
        <v>46234</v>
      </c>
      <c r="K214">
        <v>5</v>
      </c>
      <c r="L214" t="s">
        <v>972</v>
      </c>
      <c r="M214" t="s">
        <v>983</v>
      </c>
      <c r="N214" t="s">
        <v>966</v>
      </c>
      <c r="O214">
        <v>2023</v>
      </c>
      <c r="P214" t="str">
        <f t="shared" si="11"/>
        <v>Hispanic or Latino</v>
      </c>
      <c r="Q214">
        <v>32.874409200000002</v>
      </c>
      <c r="R214">
        <v>-117.23611849678871</v>
      </c>
      <c r="S214">
        <f t="shared" si="9"/>
        <v>1</v>
      </c>
    </row>
    <row r="215" spans="1:19">
      <c r="A215" t="s">
        <v>465</v>
      </c>
      <c r="B215" t="s">
        <v>466</v>
      </c>
      <c r="C215" t="s">
        <v>989</v>
      </c>
      <c r="D215" t="s">
        <v>894</v>
      </c>
      <c r="E215" t="str">
        <f t="shared" si="10"/>
        <v>Department of Surgery/SURG-Otolaryngology Head and Neck Surgery</v>
      </c>
      <c r="F215" t="s">
        <v>18</v>
      </c>
      <c r="G215" s="2" t="s">
        <v>866</v>
      </c>
      <c r="H215" t="s">
        <v>15</v>
      </c>
      <c r="I215" t="s">
        <v>11</v>
      </c>
      <c r="J215" s="1">
        <v>46927</v>
      </c>
      <c r="K215">
        <v>1</v>
      </c>
      <c r="L215" t="s">
        <v>972</v>
      </c>
      <c r="M215" t="s">
        <v>986</v>
      </c>
      <c r="N215" t="s">
        <v>11</v>
      </c>
      <c r="O215">
        <v>2023</v>
      </c>
      <c r="P215" t="str">
        <f t="shared" si="11"/>
        <v>Asian</v>
      </c>
      <c r="Q215">
        <v>36.005368400000002</v>
      </c>
      <c r="R215">
        <v>-78.938201699999993</v>
      </c>
      <c r="S215" t="str">
        <f t="shared" si="9"/>
        <v/>
      </c>
    </row>
    <row r="216" spans="1:19">
      <c r="A216" t="s">
        <v>277</v>
      </c>
      <c r="B216" t="s">
        <v>278</v>
      </c>
      <c r="C216" t="s">
        <v>994</v>
      </c>
      <c r="D216" t="s">
        <v>919</v>
      </c>
      <c r="E216" t="str">
        <f t="shared" si="10"/>
        <v>Department of Pathology/PATH-Pathology</v>
      </c>
      <c r="F216" t="s">
        <v>74</v>
      </c>
      <c r="G216" s="2" t="s">
        <v>866</v>
      </c>
      <c r="H216" t="s">
        <v>15</v>
      </c>
      <c r="I216" t="s">
        <v>21</v>
      </c>
      <c r="J216" s="1">
        <v>45466</v>
      </c>
      <c r="K216">
        <v>4</v>
      </c>
      <c r="L216" t="s">
        <v>972</v>
      </c>
      <c r="M216" t="s">
        <v>986</v>
      </c>
      <c r="N216" t="s">
        <v>21</v>
      </c>
      <c r="O216">
        <v>2023</v>
      </c>
      <c r="P216" t="str">
        <f t="shared" si="11"/>
        <v>White</v>
      </c>
      <c r="Q216">
        <v>36.005368400000002</v>
      </c>
      <c r="R216">
        <v>-78.938201699999993</v>
      </c>
      <c r="S216" t="str">
        <f t="shared" si="9"/>
        <v/>
      </c>
    </row>
    <row r="217" spans="1:19">
      <c r="A217" t="s">
        <v>295</v>
      </c>
      <c r="B217" t="s">
        <v>296</v>
      </c>
      <c r="C217" t="s">
        <v>989</v>
      </c>
      <c r="D217" t="s">
        <v>889</v>
      </c>
      <c r="E217" t="str">
        <f t="shared" si="10"/>
        <v>Department of Surgery/SURG-Surgery</v>
      </c>
      <c r="F217" t="s">
        <v>29</v>
      </c>
      <c r="G217" s="2" t="s">
        <v>866</v>
      </c>
      <c r="H217" t="s">
        <v>15</v>
      </c>
      <c r="I217" t="s">
        <v>11</v>
      </c>
      <c r="J217" s="1">
        <v>46561</v>
      </c>
      <c r="K217">
        <v>2</v>
      </c>
      <c r="L217" t="s">
        <v>972</v>
      </c>
      <c r="M217" t="s">
        <v>979</v>
      </c>
      <c r="N217" t="s">
        <v>11</v>
      </c>
      <c r="O217">
        <v>2023</v>
      </c>
      <c r="P217" t="str">
        <f t="shared" si="11"/>
        <v>Asian</v>
      </c>
      <c r="Q217">
        <v>40.443128700000003</v>
      </c>
      <c r="R217">
        <v>-79.961324099999999</v>
      </c>
      <c r="S217" t="str">
        <f t="shared" si="9"/>
        <v/>
      </c>
    </row>
    <row r="218" spans="1:19">
      <c r="A218" t="s">
        <v>813</v>
      </c>
      <c r="B218" t="s">
        <v>637</v>
      </c>
      <c r="C218" t="s">
        <v>988</v>
      </c>
      <c r="D218" t="s">
        <v>926</v>
      </c>
      <c r="E218" t="str">
        <f t="shared" si="10"/>
        <v>Department of Medicine/MED-Advanced Endoscopy</v>
      </c>
      <c r="F218" t="s">
        <v>9</v>
      </c>
      <c r="G218" t="s">
        <v>969</v>
      </c>
      <c r="H218" t="s">
        <v>15</v>
      </c>
      <c r="I218" t="s">
        <v>80</v>
      </c>
      <c r="J218" s="1">
        <v>45473</v>
      </c>
      <c r="K218">
        <v>7</v>
      </c>
      <c r="L218" t="s">
        <v>972</v>
      </c>
      <c r="M218" t="s">
        <v>984</v>
      </c>
      <c r="N218" t="s">
        <v>80</v>
      </c>
      <c r="O218">
        <v>2023</v>
      </c>
      <c r="P218" t="str">
        <f t="shared" si="11"/>
        <v>Other</v>
      </c>
      <c r="Q218">
        <v>34.061138</v>
      </c>
      <c r="R218">
        <v>-118.2057365</v>
      </c>
      <c r="S218" t="str">
        <f t="shared" si="9"/>
        <v/>
      </c>
    </row>
    <row r="219" spans="1:19">
      <c r="A219" t="s">
        <v>238</v>
      </c>
      <c r="B219" t="s">
        <v>239</v>
      </c>
      <c r="C219" t="s">
        <v>989</v>
      </c>
      <c r="D219" t="s">
        <v>889</v>
      </c>
      <c r="E219" t="str">
        <f t="shared" si="10"/>
        <v>Department of Surgery/SURG-Surgery</v>
      </c>
      <c r="F219" t="s">
        <v>183</v>
      </c>
      <c r="G219" s="2" t="s">
        <v>866</v>
      </c>
      <c r="H219" t="s">
        <v>10</v>
      </c>
      <c r="I219" t="s">
        <v>11</v>
      </c>
      <c r="J219" s="1">
        <v>46196</v>
      </c>
      <c r="K219">
        <v>3</v>
      </c>
      <c r="L219" t="s">
        <v>972</v>
      </c>
      <c r="M219" t="s">
        <v>986</v>
      </c>
      <c r="N219" t="s">
        <v>11</v>
      </c>
      <c r="O219">
        <v>2023</v>
      </c>
      <c r="P219" t="str">
        <f t="shared" si="11"/>
        <v>Asian</v>
      </c>
      <c r="Q219">
        <v>36.005368400000002</v>
      </c>
      <c r="R219">
        <v>-78.938201699999993</v>
      </c>
      <c r="S219" t="str">
        <f t="shared" si="9"/>
        <v/>
      </c>
    </row>
    <row r="220" spans="1:19">
      <c r="A220" t="s">
        <v>852</v>
      </c>
      <c r="B220" t="s">
        <v>132</v>
      </c>
      <c r="C220" t="s">
        <v>990</v>
      </c>
      <c r="D220" t="s">
        <v>954</v>
      </c>
      <c r="E220" t="str">
        <f t="shared" si="10"/>
        <v>Department of Anesthesia/ANES-Regional Anesthesia/Acute Pain Management</v>
      </c>
      <c r="F220" t="s">
        <v>9</v>
      </c>
      <c r="G220" s="2" t="s">
        <v>865</v>
      </c>
      <c r="H220" t="s">
        <v>10</v>
      </c>
      <c r="I220" t="s">
        <v>21</v>
      </c>
      <c r="J220" s="1">
        <v>45504</v>
      </c>
      <c r="K220">
        <v>5</v>
      </c>
      <c r="L220" t="s">
        <v>972</v>
      </c>
      <c r="M220" t="s">
        <v>982</v>
      </c>
      <c r="N220" t="s">
        <v>21</v>
      </c>
      <c r="O220">
        <v>2023</v>
      </c>
      <c r="P220" t="str">
        <f t="shared" si="11"/>
        <v>White</v>
      </c>
      <c r="Q220">
        <v>40.841542800000013</v>
      </c>
      <c r="R220">
        <v>-73.94139229999999</v>
      </c>
      <c r="S220" t="str">
        <f t="shared" si="9"/>
        <v/>
      </c>
    </row>
    <row r="221" spans="1:19">
      <c r="A221" t="s">
        <v>396</v>
      </c>
      <c r="B221" t="s">
        <v>234</v>
      </c>
      <c r="C221" t="s">
        <v>988</v>
      </c>
      <c r="D221" t="s">
        <v>887</v>
      </c>
      <c r="E221" t="str">
        <f t="shared" si="10"/>
        <v>Department of Medicine/MED-Internal Medicine</v>
      </c>
      <c r="F221" t="s">
        <v>183</v>
      </c>
      <c r="G221" s="2" t="s">
        <v>866</v>
      </c>
      <c r="H221" t="s">
        <v>15</v>
      </c>
      <c r="I221" t="s">
        <v>11</v>
      </c>
      <c r="J221" s="1">
        <v>45466</v>
      </c>
      <c r="K221">
        <v>3</v>
      </c>
      <c r="L221" t="s">
        <v>972</v>
      </c>
      <c r="M221" t="s">
        <v>977</v>
      </c>
      <c r="N221" t="s">
        <v>11</v>
      </c>
      <c r="O221">
        <v>2023</v>
      </c>
      <c r="P221" t="str">
        <f t="shared" si="11"/>
        <v>Asian</v>
      </c>
      <c r="Q221">
        <v>39.745566599999997</v>
      </c>
      <c r="R221">
        <v>-104.8359873</v>
      </c>
      <c r="S221" t="str">
        <f t="shared" ref="S221" si="12">IF(N221="URM",1,"")</f>
        <v/>
      </c>
    </row>
    <row r="222" spans="1:19">
      <c r="A222" t="s">
        <v>816</v>
      </c>
      <c r="B222" t="s">
        <v>817</v>
      </c>
      <c r="C222" t="s">
        <v>994</v>
      </c>
      <c r="D222" t="s">
        <v>907</v>
      </c>
      <c r="E222" t="str">
        <f t="shared" si="10"/>
        <v>Department of Pathology/PATH-Cytopathology</v>
      </c>
      <c r="F222" t="s">
        <v>9</v>
      </c>
      <c r="G222" s="2" t="s">
        <v>865</v>
      </c>
      <c r="H222" t="s">
        <v>10</v>
      </c>
      <c r="I222" t="s">
        <v>11</v>
      </c>
      <c r="J222" s="1">
        <v>45473</v>
      </c>
      <c r="K222">
        <v>5</v>
      </c>
      <c r="L222" t="s">
        <v>972</v>
      </c>
      <c r="M222" t="s">
        <v>986</v>
      </c>
      <c r="N222" t="s">
        <v>11</v>
      </c>
      <c r="O222">
        <v>2023</v>
      </c>
      <c r="P222" t="str">
        <f t="shared" si="11"/>
        <v>Asian</v>
      </c>
      <c r="Q222">
        <v>36.005368400000002</v>
      </c>
      <c r="R222">
        <v>-78.938201699999993</v>
      </c>
      <c r="S222" t="str">
        <f t="shared" si="9"/>
        <v/>
      </c>
    </row>
    <row r="223" spans="1:19">
      <c r="A223" t="s">
        <v>157</v>
      </c>
      <c r="B223" t="s">
        <v>158</v>
      </c>
      <c r="C223" t="s">
        <v>988</v>
      </c>
      <c r="D223" t="s">
        <v>887</v>
      </c>
      <c r="E223" t="str">
        <f t="shared" si="10"/>
        <v>Department of Medicine/MED-Internal Medicine</v>
      </c>
      <c r="F223" t="s">
        <v>18</v>
      </c>
      <c r="G223" s="2" t="s">
        <v>866</v>
      </c>
      <c r="H223" t="s">
        <v>15</v>
      </c>
      <c r="I223" t="s">
        <v>11</v>
      </c>
      <c r="J223" s="1">
        <v>45466</v>
      </c>
      <c r="K223">
        <v>1</v>
      </c>
      <c r="L223" t="s">
        <v>972</v>
      </c>
      <c r="M223" t="s">
        <v>981</v>
      </c>
      <c r="N223" t="s">
        <v>11</v>
      </c>
      <c r="O223">
        <v>2023</v>
      </c>
      <c r="P223" t="str">
        <f t="shared" si="11"/>
        <v>Asian</v>
      </c>
      <c r="Q223">
        <v>42.336831850000003</v>
      </c>
      <c r="R223">
        <v>-71.103809211180575</v>
      </c>
      <c r="S223" t="str">
        <f t="shared" si="9"/>
        <v/>
      </c>
    </row>
    <row r="224" spans="1:19">
      <c r="A224" t="s">
        <v>334</v>
      </c>
      <c r="B224" t="s">
        <v>335</v>
      </c>
      <c r="C224" t="s">
        <v>988</v>
      </c>
      <c r="D224" t="s">
        <v>887</v>
      </c>
      <c r="E224" t="str">
        <f t="shared" si="10"/>
        <v>Department of Medicine/MED-Internal Medicine</v>
      </c>
      <c r="F224" t="s">
        <v>18</v>
      </c>
      <c r="G224" s="2" t="s">
        <v>866</v>
      </c>
      <c r="H224" t="s">
        <v>10</v>
      </c>
      <c r="I224" t="s">
        <v>83</v>
      </c>
      <c r="J224" s="1">
        <v>45466</v>
      </c>
      <c r="K224">
        <v>1</v>
      </c>
      <c r="L224" t="s">
        <v>972</v>
      </c>
      <c r="M224" t="s">
        <v>977</v>
      </c>
      <c r="N224" t="s">
        <v>966</v>
      </c>
      <c r="O224">
        <v>2023</v>
      </c>
      <c r="P224" t="str">
        <f t="shared" si="11"/>
        <v>Hispanic or Latino</v>
      </c>
      <c r="Q224">
        <v>39.745566599999997</v>
      </c>
      <c r="R224">
        <v>-104.8359873</v>
      </c>
      <c r="S224">
        <f t="shared" si="9"/>
        <v>1</v>
      </c>
    </row>
    <row r="225" spans="1:19">
      <c r="A225" t="s">
        <v>164</v>
      </c>
      <c r="B225" t="s">
        <v>165</v>
      </c>
      <c r="C225" t="s">
        <v>988</v>
      </c>
      <c r="D225" t="s">
        <v>887</v>
      </c>
      <c r="E225" t="str">
        <f t="shared" si="10"/>
        <v>Department of Medicine/MED-Internal Medicine</v>
      </c>
      <c r="F225" t="s">
        <v>24</v>
      </c>
      <c r="G225" t="s">
        <v>969</v>
      </c>
      <c r="H225" t="s">
        <v>10</v>
      </c>
      <c r="I225" t="s">
        <v>11</v>
      </c>
      <c r="J225" s="1">
        <v>45100</v>
      </c>
      <c r="K225">
        <v>3</v>
      </c>
      <c r="L225" t="s">
        <v>972</v>
      </c>
      <c r="M225" t="s">
        <v>981</v>
      </c>
      <c r="N225" t="s">
        <v>11</v>
      </c>
      <c r="O225">
        <v>2023</v>
      </c>
      <c r="P225" t="str">
        <f t="shared" si="11"/>
        <v>Asian</v>
      </c>
      <c r="Q225">
        <v>42.336831850000003</v>
      </c>
      <c r="R225">
        <v>-71.103809211180575</v>
      </c>
      <c r="S225" t="str">
        <f t="shared" si="9"/>
        <v/>
      </c>
    </row>
    <row r="226" spans="1:19">
      <c r="A226" t="s">
        <v>164</v>
      </c>
      <c r="B226" t="s">
        <v>180</v>
      </c>
      <c r="C226" t="s">
        <v>988</v>
      </c>
      <c r="D226" t="s">
        <v>887</v>
      </c>
      <c r="E226" t="str">
        <f t="shared" si="10"/>
        <v>Department of Medicine/MED-Internal Medicine</v>
      </c>
      <c r="F226" t="s">
        <v>24</v>
      </c>
      <c r="G226" t="s">
        <v>969</v>
      </c>
      <c r="H226" t="s">
        <v>10</v>
      </c>
      <c r="I226" t="s">
        <v>11</v>
      </c>
      <c r="J226" s="1">
        <v>45100</v>
      </c>
      <c r="K226">
        <v>3</v>
      </c>
      <c r="L226" t="s">
        <v>972</v>
      </c>
      <c r="M226" t="s">
        <v>981</v>
      </c>
      <c r="N226" t="s">
        <v>11</v>
      </c>
      <c r="O226">
        <v>2023</v>
      </c>
      <c r="P226" t="str">
        <f t="shared" si="11"/>
        <v>Asian</v>
      </c>
      <c r="Q226">
        <v>42.336831850000003</v>
      </c>
      <c r="R226">
        <v>-71.103809211180575</v>
      </c>
      <c r="S226" t="str">
        <f t="shared" si="9"/>
        <v/>
      </c>
    </row>
    <row r="227" spans="1:19">
      <c r="A227" t="s">
        <v>164</v>
      </c>
      <c r="B227" t="s">
        <v>220</v>
      </c>
      <c r="C227" t="s">
        <v>988</v>
      </c>
      <c r="D227" t="s">
        <v>887</v>
      </c>
      <c r="E227" t="str">
        <f t="shared" si="10"/>
        <v>Department of Medicine/MED-Internal Medicine</v>
      </c>
      <c r="F227" t="s">
        <v>29</v>
      </c>
      <c r="G227" s="2" t="s">
        <v>866</v>
      </c>
      <c r="H227" t="s">
        <v>15</v>
      </c>
      <c r="I227" t="s">
        <v>11</v>
      </c>
      <c r="J227" s="1">
        <v>45831</v>
      </c>
      <c r="K227">
        <v>2</v>
      </c>
      <c r="L227" t="s">
        <v>972</v>
      </c>
      <c r="M227" t="s">
        <v>977</v>
      </c>
      <c r="N227" t="s">
        <v>11</v>
      </c>
      <c r="O227">
        <v>2023</v>
      </c>
      <c r="P227" t="str">
        <f t="shared" si="11"/>
        <v>Asian</v>
      </c>
      <c r="Q227">
        <v>39.745566599999997</v>
      </c>
      <c r="R227">
        <v>-104.8359873</v>
      </c>
      <c r="S227" t="str">
        <f t="shared" si="9"/>
        <v/>
      </c>
    </row>
    <row r="228" spans="1:19">
      <c r="A228" t="s">
        <v>219</v>
      </c>
      <c r="B228" t="s">
        <v>697</v>
      </c>
      <c r="C228" t="s">
        <v>990</v>
      </c>
      <c r="D228" t="s">
        <v>886</v>
      </c>
      <c r="E228" t="str">
        <f t="shared" si="10"/>
        <v>Department of Anesthesia/ANES-Anesthesiology</v>
      </c>
      <c r="F228" t="s">
        <v>183</v>
      </c>
      <c r="G228" s="2" t="s">
        <v>866</v>
      </c>
      <c r="H228" t="s">
        <v>15</v>
      </c>
      <c r="I228" t="s">
        <v>11</v>
      </c>
      <c r="J228" s="1">
        <v>45838</v>
      </c>
      <c r="K228">
        <v>3</v>
      </c>
      <c r="L228" t="s">
        <v>972</v>
      </c>
      <c r="M228" t="s">
        <v>980</v>
      </c>
      <c r="N228" t="s">
        <v>11</v>
      </c>
      <c r="O228">
        <v>2023</v>
      </c>
      <c r="P228" t="str">
        <f t="shared" si="11"/>
        <v>Asian</v>
      </c>
      <c r="Q228">
        <v>34.064282899999988</v>
      </c>
      <c r="R228">
        <v>-118.44235620000001</v>
      </c>
      <c r="S228" t="str">
        <f t="shared" si="9"/>
        <v/>
      </c>
    </row>
    <row r="229" spans="1:19">
      <c r="A229" t="s">
        <v>219</v>
      </c>
      <c r="B229" t="s">
        <v>721</v>
      </c>
      <c r="C229" t="s">
        <v>990</v>
      </c>
      <c r="D229" t="s">
        <v>921</v>
      </c>
      <c r="E229" t="str">
        <f t="shared" si="10"/>
        <v>Department of Anesthesia/ANES-Obstetric Anesthesiology</v>
      </c>
      <c r="F229" t="s">
        <v>9</v>
      </c>
      <c r="G229" s="2" t="s">
        <v>865</v>
      </c>
      <c r="H229" t="s">
        <v>15</v>
      </c>
      <c r="I229" t="s">
        <v>11</v>
      </c>
      <c r="J229" s="1">
        <v>45504</v>
      </c>
      <c r="K229">
        <v>5</v>
      </c>
      <c r="L229" t="s">
        <v>972</v>
      </c>
      <c r="M229" t="s">
        <v>978</v>
      </c>
      <c r="N229" t="s">
        <v>11</v>
      </c>
      <c r="O229">
        <v>2023</v>
      </c>
      <c r="P229" t="str">
        <f t="shared" si="11"/>
        <v>Asian</v>
      </c>
      <c r="Q229">
        <v>33.793635299999998</v>
      </c>
      <c r="R229">
        <v>-84.322179556478247</v>
      </c>
      <c r="S229" t="str">
        <f t="shared" si="9"/>
        <v/>
      </c>
    </row>
    <row r="230" spans="1:19">
      <c r="A230" t="s">
        <v>219</v>
      </c>
      <c r="B230" t="s">
        <v>664</v>
      </c>
      <c r="C230" t="s">
        <v>1000</v>
      </c>
      <c r="D230" t="s">
        <v>916</v>
      </c>
      <c r="E230" t="str">
        <f t="shared" si="10"/>
        <v>Department of Imaging/IMG-Diagnostic Radiology</v>
      </c>
      <c r="F230" t="s">
        <v>74</v>
      </c>
      <c r="G230" s="2" t="s">
        <v>866</v>
      </c>
      <c r="H230" t="s">
        <v>15</v>
      </c>
      <c r="I230" t="s">
        <v>11</v>
      </c>
      <c r="J230" s="1">
        <v>45473</v>
      </c>
      <c r="K230">
        <v>5</v>
      </c>
      <c r="L230" t="s">
        <v>972</v>
      </c>
      <c r="M230" t="s">
        <v>978</v>
      </c>
      <c r="N230" t="s">
        <v>11</v>
      </c>
      <c r="O230">
        <v>2023</v>
      </c>
      <c r="P230" t="str">
        <f t="shared" si="11"/>
        <v>Asian</v>
      </c>
      <c r="Q230">
        <v>33.793635299999998</v>
      </c>
      <c r="R230">
        <v>-84.322179556478247</v>
      </c>
      <c r="S230" t="str">
        <f t="shared" si="9"/>
        <v/>
      </c>
    </row>
    <row r="231" spans="1:19">
      <c r="A231" t="s">
        <v>219</v>
      </c>
      <c r="B231" t="s">
        <v>389</v>
      </c>
      <c r="C231" t="s">
        <v>988</v>
      </c>
      <c r="D231" t="s">
        <v>887</v>
      </c>
      <c r="E231" t="str">
        <f t="shared" si="10"/>
        <v>Department of Medicine/MED-Internal Medicine</v>
      </c>
      <c r="F231" t="s">
        <v>183</v>
      </c>
      <c r="G231" s="2" t="s">
        <v>866</v>
      </c>
      <c r="H231" t="s">
        <v>10</v>
      </c>
      <c r="I231" t="s">
        <v>11</v>
      </c>
      <c r="J231" s="1">
        <v>45466</v>
      </c>
      <c r="K231">
        <v>3</v>
      </c>
      <c r="L231" t="s">
        <v>972</v>
      </c>
      <c r="M231" t="s">
        <v>978</v>
      </c>
      <c r="N231" t="s">
        <v>11</v>
      </c>
      <c r="O231">
        <v>2023</v>
      </c>
      <c r="P231" t="str">
        <f t="shared" si="11"/>
        <v>Asian</v>
      </c>
      <c r="Q231">
        <v>33.793635299999998</v>
      </c>
      <c r="R231">
        <v>-84.322179556478247</v>
      </c>
      <c r="S231" t="str">
        <f t="shared" si="9"/>
        <v/>
      </c>
    </row>
    <row r="232" spans="1:19">
      <c r="A232" t="s">
        <v>219</v>
      </c>
      <c r="B232" t="s">
        <v>67</v>
      </c>
      <c r="C232" t="s">
        <v>988</v>
      </c>
      <c r="D232" t="s">
        <v>887</v>
      </c>
      <c r="E232" t="str">
        <f t="shared" si="10"/>
        <v>Department of Medicine/MED-Internal Medicine</v>
      </c>
      <c r="F232" t="s">
        <v>183</v>
      </c>
      <c r="G232" s="2" t="s">
        <v>866</v>
      </c>
      <c r="H232" t="s">
        <v>10</v>
      </c>
      <c r="I232" t="s">
        <v>11</v>
      </c>
      <c r="J232" s="1">
        <v>45466</v>
      </c>
      <c r="K232">
        <v>3</v>
      </c>
      <c r="L232" t="s">
        <v>972</v>
      </c>
      <c r="M232" t="s">
        <v>981</v>
      </c>
      <c r="N232" t="s">
        <v>11</v>
      </c>
      <c r="O232">
        <v>2023</v>
      </c>
      <c r="P232" t="str">
        <f t="shared" si="11"/>
        <v>Asian</v>
      </c>
      <c r="Q232">
        <v>42.336831850000003</v>
      </c>
      <c r="R232">
        <v>-71.103809211180575</v>
      </c>
      <c r="S232" t="str">
        <f t="shared" si="9"/>
        <v/>
      </c>
    </row>
    <row r="233" spans="1:19">
      <c r="A233" t="s">
        <v>219</v>
      </c>
      <c r="B233" t="s">
        <v>272</v>
      </c>
      <c r="C233" t="s">
        <v>988</v>
      </c>
      <c r="D233" t="s">
        <v>887</v>
      </c>
      <c r="E233" t="str">
        <f t="shared" si="10"/>
        <v>Department of Medicine/MED-Internal Medicine</v>
      </c>
      <c r="F233" t="s">
        <v>18</v>
      </c>
      <c r="G233" s="2" t="s">
        <v>866</v>
      </c>
      <c r="H233" t="s">
        <v>15</v>
      </c>
      <c r="I233" t="s">
        <v>11</v>
      </c>
      <c r="J233" s="1">
        <v>46196</v>
      </c>
      <c r="K233">
        <v>1</v>
      </c>
      <c r="L233" t="s">
        <v>972</v>
      </c>
      <c r="M233" t="s">
        <v>981</v>
      </c>
      <c r="N233" t="s">
        <v>11</v>
      </c>
      <c r="O233">
        <v>2023</v>
      </c>
      <c r="P233" t="str">
        <f t="shared" si="11"/>
        <v>Asian</v>
      </c>
      <c r="Q233">
        <v>42.336831850000003</v>
      </c>
      <c r="R233">
        <v>-71.103809211180575</v>
      </c>
      <c r="S233" t="str">
        <f t="shared" si="9"/>
        <v/>
      </c>
    </row>
    <row r="234" spans="1:19">
      <c r="A234" t="s">
        <v>219</v>
      </c>
      <c r="B234" t="s">
        <v>118</v>
      </c>
      <c r="C234" t="s">
        <v>988</v>
      </c>
      <c r="D234" t="s">
        <v>887</v>
      </c>
      <c r="E234" t="str">
        <f t="shared" si="10"/>
        <v>Department of Medicine/MED-Internal Medicine</v>
      </c>
      <c r="F234" t="s">
        <v>18</v>
      </c>
      <c r="G234" s="2" t="s">
        <v>866</v>
      </c>
      <c r="H234" t="s">
        <v>15</v>
      </c>
      <c r="I234" t="s">
        <v>11</v>
      </c>
      <c r="J234" s="1">
        <v>46196</v>
      </c>
      <c r="K234">
        <v>1</v>
      </c>
      <c r="L234" t="s">
        <v>972</v>
      </c>
      <c r="M234" t="s">
        <v>981</v>
      </c>
      <c r="N234" t="s">
        <v>11</v>
      </c>
      <c r="O234">
        <v>2023</v>
      </c>
      <c r="P234" t="str">
        <f t="shared" si="11"/>
        <v>Asian</v>
      </c>
      <c r="Q234">
        <v>42.336831850000003</v>
      </c>
      <c r="R234">
        <v>-71.103809211180575</v>
      </c>
      <c r="S234" t="str">
        <f t="shared" si="9"/>
        <v/>
      </c>
    </row>
    <row r="235" spans="1:19">
      <c r="A235" t="s">
        <v>219</v>
      </c>
      <c r="B235" t="s">
        <v>104</v>
      </c>
      <c r="C235" t="s">
        <v>988</v>
      </c>
      <c r="D235" t="s">
        <v>887</v>
      </c>
      <c r="E235" t="str">
        <f t="shared" si="10"/>
        <v>Department of Medicine/MED-Internal Medicine</v>
      </c>
      <c r="F235" t="s">
        <v>18</v>
      </c>
      <c r="G235" s="2" t="s">
        <v>866</v>
      </c>
      <c r="H235" t="s">
        <v>15</v>
      </c>
      <c r="I235" t="s">
        <v>11</v>
      </c>
      <c r="J235" s="1">
        <v>45466</v>
      </c>
      <c r="K235">
        <v>1</v>
      </c>
      <c r="L235" t="s">
        <v>972</v>
      </c>
      <c r="M235" t="s">
        <v>981</v>
      </c>
      <c r="N235" t="s">
        <v>11</v>
      </c>
      <c r="O235">
        <v>2023</v>
      </c>
      <c r="P235" t="str">
        <f t="shared" si="11"/>
        <v>Asian</v>
      </c>
      <c r="Q235">
        <v>42.336831850000003</v>
      </c>
      <c r="R235">
        <v>-71.103809211180575</v>
      </c>
      <c r="S235" t="str">
        <f t="shared" si="9"/>
        <v/>
      </c>
    </row>
    <row r="236" spans="1:19">
      <c r="A236" t="s">
        <v>219</v>
      </c>
      <c r="B236" t="s">
        <v>125</v>
      </c>
      <c r="C236" t="s">
        <v>988</v>
      </c>
      <c r="D236" t="s">
        <v>887</v>
      </c>
      <c r="E236" t="str">
        <f t="shared" si="10"/>
        <v>Department of Medicine/MED-Internal Medicine</v>
      </c>
      <c r="F236" t="s">
        <v>29</v>
      </c>
      <c r="G236" s="2" t="s">
        <v>866</v>
      </c>
      <c r="H236" t="s">
        <v>15</v>
      </c>
      <c r="I236" t="s">
        <v>11</v>
      </c>
      <c r="J236" s="1">
        <v>45831</v>
      </c>
      <c r="K236">
        <v>2</v>
      </c>
      <c r="L236" t="s">
        <v>972</v>
      </c>
      <c r="M236" t="s">
        <v>981</v>
      </c>
      <c r="N236" t="s">
        <v>11</v>
      </c>
      <c r="O236">
        <v>2023</v>
      </c>
      <c r="P236" t="str">
        <f t="shared" si="11"/>
        <v>Asian</v>
      </c>
      <c r="Q236">
        <v>42.336831850000003</v>
      </c>
      <c r="R236">
        <v>-71.103809211180575</v>
      </c>
      <c r="S236" t="str">
        <f t="shared" si="9"/>
        <v/>
      </c>
    </row>
    <row r="237" spans="1:19">
      <c r="A237" t="s">
        <v>219</v>
      </c>
      <c r="B237" t="s">
        <v>825</v>
      </c>
      <c r="C237" t="s">
        <v>993</v>
      </c>
      <c r="D237" t="s">
        <v>905</v>
      </c>
      <c r="E237" t="str">
        <f t="shared" si="10"/>
        <v>Department of Neurology/NEURO-Clinical Neurophysiology</v>
      </c>
      <c r="F237" t="s">
        <v>9</v>
      </c>
      <c r="G237" s="2" t="s">
        <v>865</v>
      </c>
      <c r="H237" t="s">
        <v>10</v>
      </c>
      <c r="I237" t="s">
        <v>11</v>
      </c>
      <c r="J237" s="1">
        <v>45473</v>
      </c>
      <c r="K237">
        <v>5</v>
      </c>
      <c r="L237" t="s">
        <v>972</v>
      </c>
      <c r="M237" t="s">
        <v>984</v>
      </c>
      <c r="N237" t="s">
        <v>11</v>
      </c>
      <c r="O237">
        <v>2023</v>
      </c>
      <c r="P237" t="str">
        <f t="shared" si="11"/>
        <v>Asian</v>
      </c>
      <c r="Q237">
        <v>34.061138</v>
      </c>
      <c r="R237">
        <v>-118.2057365</v>
      </c>
      <c r="S237" t="str">
        <f t="shared" si="9"/>
        <v/>
      </c>
    </row>
    <row r="238" spans="1:19">
      <c r="A238" t="s">
        <v>219</v>
      </c>
      <c r="B238" t="s">
        <v>220</v>
      </c>
      <c r="C238" t="s">
        <v>993</v>
      </c>
      <c r="D238" t="s">
        <v>927</v>
      </c>
      <c r="E238" t="str">
        <f t="shared" si="10"/>
        <v>Department of Neurology/NEURO-Headache Medicine</v>
      </c>
      <c r="F238" t="s">
        <v>9</v>
      </c>
      <c r="G238" t="s">
        <v>969</v>
      </c>
      <c r="H238" t="s">
        <v>15</v>
      </c>
      <c r="I238" t="s">
        <v>11</v>
      </c>
      <c r="J238" s="1">
        <v>45473</v>
      </c>
      <c r="K238">
        <v>5</v>
      </c>
      <c r="L238" t="s">
        <v>972</v>
      </c>
      <c r="M238" t="s">
        <v>965</v>
      </c>
      <c r="N238" t="s">
        <v>11</v>
      </c>
      <c r="O238">
        <v>2023</v>
      </c>
      <c r="P238" t="str">
        <f t="shared" si="11"/>
        <v>Asian</v>
      </c>
      <c r="Q238">
        <v>40.347099999999998</v>
      </c>
      <c r="R238">
        <v>-74.661600000000007</v>
      </c>
      <c r="S238" t="str">
        <f t="shared" si="9"/>
        <v/>
      </c>
    </row>
    <row r="239" spans="1:19">
      <c r="A239" t="s">
        <v>219</v>
      </c>
      <c r="B239" t="s">
        <v>147</v>
      </c>
      <c r="C239" t="s">
        <v>993</v>
      </c>
      <c r="D239" t="s">
        <v>962</v>
      </c>
      <c r="E239" t="str">
        <f t="shared" si="10"/>
        <v>Department of Neurology/NEURO-Immunology/Multiple Sclerosis</v>
      </c>
      <c r="F239" t="s">
        <v>9</v>
      </c>
      <c r="G239" t="s">
        <v>969</v>
      </c>
      <c r="H239" t="s">
        <v>15</v>
      </c>
      <c r="I239" t="s">
        <v>11</v>
      </c>
      <c r="J239" s="1">
        <v>45473</v>
      </c>
      <c r="K239">
        <v>5</v>
      </c>
      <c r="L239" t="s">
        <v>972</v>
      </c>
      <c r="M239" t="s">
        <v>983</v>
      </c>
      <c r="N239" t="s">
        <v>11</v>
      </c>
      <c r="O239">
        <v>2023</v>
      </c>
      <c r="P239" t="str">
        <f t="shared" si="11"/>
        <v>Asian</v>
      </c>
      <c r="Q239">
        <v>32.874409200000002</v>
      </c>
      <c r="R239">
        <v>-117.23611849678871</v>
      </c>
      <c r="S239" t="str">
        <f t="shared" si="9"/>
        <v/>
      </c>
    </row>
    <row r="240" spans="1:19">
      <c r="A240" t="s">
        <v>219</v>
      </c>
      <c r="B240" t="s">
        <v>499</v>
      </c>
      <c r="C240" t="s">
        <v>997</v>
      </c>
      <c r="D240" t="s">
        <v>888</v>
      </c>
      <c r="E240" t="str">
        <f t="shared" si="10"/>
        <v>Department of Orthopedic Surgery/ORTHO-Orthopaedic Surgery</v>
      </c>
      <c r="F240" t="s">
        <v>183</v>
      </c>
      <c r="G240" s="2" t="s">
        <v>866</v>
      </c>
      <c r="H240" t="s">
        <v>10</v>
      </c>
      <c r="I240" t="s">
        <v>11</v>
      </c>
      <c r="J240" s="1">
        <v>46203</v>
      </c>
      <c r="K240">
        <v>3</v>
      </c>
      <c r="L240" t="s">
        <v>972</v>
      </c>
      <c r="M240" t="s">
        <v>977</v>
      </c>
      <c r="N240" t="s">
        <v>11</v>
      </c>
      <c r="O240">
        <v>2023</v>
      </c>
      <c r="P240" t="str">
        <f t="shared" si="11"/>
        <v>Asian</v>
      </c>
      <c r="Q240">
        <v>39.745566599999997</v>
      </c>
      <c r="R240">
        <v>-104.8359873</v>
      </c>
      <c r="S240" t="str">
        <f t="shared" si="9"/>
        <v/>
      </c>
    </row>
    <row r="241" spans="1:19">
      <c r="A241" t="s">
        <v>219</v>
      </c>
      <c r="B241" t="s">
        <v>237</v>
      </c>
      <c r="C241" t="s">
        <v>989</v>
      </c>
      <c r="D241" t="s">
        <v>889</v>
      </c>
      <c r="E241" t="str">
        <f t="shared" si="10"/>
        <v>Department of Surgery/SURG-Surgery</v>
      </c>
      <c r="F241" t="s">
        <v>24</v>
      </c>
      <c r="G241" t="s">
        <v>969</v>
      </c>
      <c r="H241" t="s">
        <v>15</v>
      </c>
      <c r="I241" t="s">
        <v>11</v>
      </c>
      <c r="J241" s="1">
        <v>46196</v>
      </c>
      <c r="K241">
        <v>3</v>
      </c>
      <c r="L241" t="s">
        <v>972</v>
      </c>
      <c r="M241" t="s">
        <v>979</v>
      </c>
      <c r="N241" t="s">
        <v>11</v>
      </c>
      <c r="O241">
        <v>2023</v>
      </c>
      <c r="P241" t="str">
        <f t="shared" si="11"/>
        <v>Asian</v>
      </c>
      <c r="Q241">
        <v>40.443128700000003</v>
      </c>
      <c r="R241">
        <v>-79.961324099999999</v>
      </c>
      <c r="S241" t="str">
        <f t="shared" si="9"/>
        <v/>
      </c>
    </row>
    <row r="242" spans="1:19">
      <c r="A242" t="s">
        <v>353</v>
      </c>
      <c r="B242" t="s">
        <v>122</v>
      </c>
      <c r="C242" t="s">
        <v>994</v>
      </c>
      <c r="D242" t="s">
        <v>919</v>
      </c>
      <c r="E242" t="str">
        <f t="shared" si="10"/>
        <v>Department of Pathology/PATH-Pathology</v>
      </c>
      <c r="F242" t="s">
        <v>183</v>
      </c>
      <c r="G242" s="2" t="s">
        <v>866</v>
      </c>
      <c r="H242" t="s">
        <v>15</v>
      </c>
      <c r="I242" t="s">
        <v>11</v>
      </c>
      <c r="J242" s="1">
        <v>45831</v>
      </c>
      <c r="K242">
        <v>3</v>
      </c>
      <c r="L242" t="s">
        <v>972</v>
      </c>
      <c r="M242" t="s">
        <v>986</v>
      </c>
      <c r="N242" t="s">
        <v>11</v>
      </c>
      <c r="O242">
        <v>2023</v>
      </c>
      <c r="P242" t="str">
        <f t="shared" si="11"/>
        <v>Asian</v>
      </c>
      <c r="Q242">
        <v>36.005368400000002</v>
      </c>
      <c r="R242">
        <v>-78.938201699999993</v>
      </c>
      <c r="S242" t="str">
        <f t="shared" si="9"/>
        <v/>
      </c>
    </row>
    <row r="243" spans="1:19">
      <c r="A243" t="s">
        <v>680</v>
      </c>
      <c r="B243" t="s">
        <v>681</v>
      </c>
      <c r="C243" t="s">
        <v>996</v>
      </c>
      <c r="D243" t="s">
        <v>958</v>
      </c>
      <c r="E243" t="str">
        <f t="shared" si="10"/>
        <v>Department of Obstetrics &amp; Gynecology/OB/GYN-Maternal &amp; Fetal Medicine</v>
      </c>
      <c r="F243" t="s">
        <v>14</v>
      </c>
      <c r="G243" s="2" t="s">
        <v>865</v>
      </c>
      <c r="H243" t="s">
        <v>10</v>
      </c>
      <c r="I243" t="s">
        <v>80</v>
      </c>
      <c r="J243" s="1">
        <v>45838</v>
      </c>
      <c r="K243">
        <v>6</v>
      </c>
      <c r="L243" t="s">
        <v>972</v>
      </c>
      <c r="M243" t="s">
        <v>983</v>
      </c>
      <c r="N243" t="s">
        <v>80</v>
      </c>
      <c r="O243">
        <v>2023</v>
      </c>
      <c r="P243" t="str">
        <f t="shared" si="11"/>
        <v>Other</v>
      </c>
      <c r="Q243">
        <v>32.874409200000002</v>
      </c>
      <c r="R243">
        <v>-117.23611849678871</v>
      </c>
      <c r="S243" t="str">
        <f t="shared" si="9"/>
        <v/>
      </c>
    </row>
    <row r="244" spans="1:19">
      <c r="A244" t="s">
        <v>155</v>
      </c>
      <c r="B244" t="s">
        <v>156</v>
      </c>
      <c r="C244" t="s">
        <v>996</v>
      </c>
      <c r="D244" t="s">
        <v>957</v>
      </c>
      <c r="E244" t="str">
        <f t="shared" si="10"/>
        <v>Department of Obstetrics &amp; Gynecology/OB/GYN-Gynecologic Oncology</v>
      </c>
      <c r="F244" t="s">
        <v>9</v>
      </c>
      <c r="G244" s="2" t="s">
        <v>865</v>
      </c>
      <c r="H244" t="s">
        <v>10</v>
      </c>
      <c r="I244" t="s">
        <v>21</v>
      </c>
      <c r="J244" s="1">
        <v>46234</v>
      </c>
      <c r="K244">
        <v>5</v>
      </c>
      <c r="L244" t="s">
        <v>972</v>
      </c>
      <c r="M244" t="s">
        <v>983</v>
      </c>
      <c r="N244" t="s">
        <v>21</v>
      </c>
      <c r="O244">
        <v>2023</v>
      </c>
      <c r="P244" t="str">
        <f t="shared" si="11"/>
        <v>White</v>
      </c>
      <c r="Q244">
        <v>32.874409200000002</v>
      </c>
      <c r="R244">
        <v>-117.23611849678871</v>
      </c>
      <c r="S244" t="str">
        <f t="shared" si="9"/>
        <v/>
      </c>
    </row>
    <row r="245" spans="1:19">
      <c r="A245" t="s">
        <v>518</v>
      </c>
      <c r="B245" t="s">
        <v>519</v>
      </c>
      <c r="C245" t="s">
        <v>996</v>
      </c>
      <c r="D245" t="s">
        <v>960</v>
      </c>
      <c r="E245" t="str">
        <f t="shared" si="10"/>
        <v>Department of Obstetrics &amp; Gynecology/OB/GYN-Obstetrics &amp; Gynecology</v>
      </c>
      <c r="F245" t="s">
        <v>18</v>
      </c>
      <c r="G245" s="2" t="s">
        <v>866</v>
      </c>
      <c r="H245" t="s">
        <v>10</v>
      </c>
      <c r="I245" t="s">
        <v>163</v>
      </c>
      <c r="J245" s="1">
        <v>46561</v>
      </c>
      <c r="K245">
        <v>1</v>
      </c>
      <c r="L245" t="s">
        <v>972</v>
      </c>
      <c r="M245" t="s">
        <v>983</v>
      </c>
      <c r="N245" t="s">
        <v>11</v>
      </c>
      <c r="O245">
        <v>2023</v>
      </c>
      <c r="P245" t="s">
        <v>11</v>
      </c>
      <c r="Q245">
        <v>32.874409200000002</v>
      </c>
      <c r="R245">
        <v>-117.23611849678871</v>
      </c>
      <c r="S245" t="str">
        <f t="shared" si="9"/>
        <v/>
      </c>
    </row>
    <row r="246" spans="1:19">
      <c r="A246" t="s">
        <v>280</v>
      </c>
      <c r="B246" t="s">
        <v>281</v>
      </c>
      <c r="C246" t="s">
        <v>994</v>
      </c>
      <c r="D246" t="s">
        <v>919</v>
      </c>
      <c r="E246" t="str">
        <f t="shared" si="10"/>
        <v>Department of Pathology/PATH-Pathology</v>
      </c>
      <c r="F246" t="s">
        <v>74</v>
      </c>
      <c r="G246" s="2" t="s">
        <v>866</v>
      </c>
      <c r="H246" t="s">
        <v>10</v>
      </c>
      <c r="I246" t="s">
        <v>11</v>
      </c>
      <c r="J246" s="1">
        <v>45466</v>
      </c>
      <c r="K246">
        <v>4</v>
      </c>
      <c r="L246" t="s">
        <v>972</v>
      </c>
      <c r="M246" t="s">
        <v>986</v>
      </c>
      <c r="N246" t="s">
        <v>11</v>
      </c>
      <c r="O246">
        <v>2023</v>
      </c>
      <c r="P246" t="str">
        <f t="shared" si="11"/>
        <v>Asian</v>
      </c>
      <c r="Q246">
        <v>36.005368400000002</v>
      </c>
      <c r="R246">
        <v>-78.938201699999993</v>
      </c>
      <c r="S246" t="str">
        <f t="shared" si="9"/>
        <v/>
      </c>
    </row>
    <row r="247" spans="1:19">
      <c r="A247" t="s">
        <v>376</v>
      </c>
      <c r="B247" t="s">
        <v>377</v>
      </c>
      <c r="C247" t="s">
        <v>988</v>
      </c>
      <c r="D247" t="s">
        <v>887</v>
      </c>
      <c r="E247" t="str">
        <f t="shared" si="10"/>
        <v>Department of Medicine/MED-Internal Medicine</v>
      </c>
      <c r="F247" t="s">
        <v>183</v>
      </c>
      <c r="G247" s="2" t="s">
        <v>866</v>
      </c>
      <c r="H247" t="s">
        <v>15</v>
      </c>
      <c r="I247" t="s">
        <v>11</v>
      </c>
      <c r="J247" s="1">
        <v>45466</v>
      </c>
      <c r="K247">
        <v>3</v>
      </c>
      <c r="L247" t="s">
        <v>972</v>
      </c>
      <c r="M247" t="s">
        <v>977</v>
      </c>
      <c r="N247" t="s">
        <v>11</v>
      </c>
      <c r="O247">
        <v>2023</v>
      </c>
      <c r="P247" t="str">
        <f t="shared" si="11"/>
        <v>Asian</v>
      </c>
      <c r="Q247">
        <v>39.745566599999997</v>
      </c>
      <c r="R247">
        <v>-104.8359873</v>
      </c>
      <c r="S247" t="str">
        <f t="shared" si="9"/>
        <v/>
      </c>
    </row>
    <row r="248" spans="1:19">
      <c r="A248" t="s">
        <v>297</v>
      </c>
      <c r="B248" t="s">
        <v>490</v>
      </c>
      <c r="C248" t="s">
        <v>992</v>
      </c>
      <c r="D248" t="s">
        <v>915</v>
      </c>
      <c r="E248" t="str">
        <f t="shared" si="10"/>
        <v>Department of Cardiac Surgery/CARDSURG-Thoracic Surgery-Integrated</v>
      </c>
      <c r="F248" t="s">
        <v>29</v>
      </c>
      <c r="G248" s="2" t="s">
        <v>866</v>
      </c>
      <c r="H248" t="s">
        <v>15</v>
      </c>
      <c r="I248" t="s">
        <v>11</v>
      </c>
      <c r="J248" s="1">
        <v>46934</v>
      </c>
      <c r="K248">
        <v>2</v>
      </c>
      <c r="L248" t="s">
        <v>972</v>
      </c>
      <c r="M248" t="s">
        <v>982</v>
      </c>
      <c r="N248" t="s">
        <v>11</v>
      </c>
      <c r="O248">
        <v>2023</v>
      </c>
      <c r="P248" t="str">
        <f t="shared" si="11"/>
        <v>Asian</v>
      </c>
      <c r="Q248">
        <v>40.841542800000013</v>
      </c>
      <c r="R248">
        <v>-73.94139229999999</v>
      </c>
      <c r="S248" t="str">
        <f t="shared" si="9"/>
        <v/>
      </c>
    </row>
    <row r="249" spans="1:19">
      <c r="A249" t="s">
        <v>297</v>
      </c>
      <c r="B249" t="s">
        <v>298</v>
      </c>
      <c r="C249" t="s">
        <v>989</v>
      </c>
      <c r="D249" t="s">
        <v>889</v>
      </c>
      <c r="E249" t="str">
        <f t="shared" si="10"/>
        <v>Department of Surgery/SURG-Surgery</v>
      </c>
      <c r="F249" t="s">
        <v>29</v>
      </c>
      <c r="G249" s="2" t="s">
        <v>866</v>
      </c>
      <c r="H249" t="s">
        <v>10</v>
      </c>
      <c r="I249" t="s">
        <v>11</v>
      </c>
      <c r="J249" s="1">
        <v>46561</v>
      </c>
      <c r="K249">
        <v>2</v>
      </c>
      <c r="L249" t="s">
        <v>972</v>
      </c>
      <c r="M249" t="s">
        <v>986</v>
      </c>
      <c r="N249" t="s">
        <v>11</v>
      </c>
      <c r="O249">
        <v>2023</v>
      </c>
      <c r="P249" t="str">
        <f t="shared" si="11"/>
        <v>Asian</v>
      </c>
      <c r="Q249">
        <v>36.005368400000002</v>
      </c>
      <c r="R249">
        <v>-78.938201699999993</v>
      </c>
      <c r="S249" t="str">
        <f t="shared" si="9"/>
        <v/>
      </c>
    </row>
    <row r="250" spans="1:19">
      <c r="A250" t="s">
        <v>530</v>
      </c>
      <c r="B250" t="s">
        <v>741</v>
      </c>
      <c r="C250" t="s">
        <v>990</v>
      </c>
      <c r="D250" t="s">
        <v>886</v>
      </c>
      <c r="E250" t="str">
        <f t="shared" si="10"/>
        <v>Department of Anesthesia/ANES-Anesthesiology</v>
      </c>
      <c r="F250" t="s">
        <v>29</v>
      </c>
      <c r="G250" s="2" t="s">
        <v>866</v>
      </c>
      <c r="H250" t="s">
        <v>10</v>
      </c>
      <c r="I250" t="s">
        <v>11</v>
      </c>
      <c r="J250" s="1">
        <v>46203</v>
      </c>
      <c r="K250">
        <v>2</v>
      </c>
      <c r="L250" t="s">
        <v>972</v>
      </c>
      <c r="M250" t="s">
        <v>985</v>
      </c>
      <c r="N250" t="s">
        <v>11</v>
      </c>
      <c r="O250">
        <v>2023</v>
      </c>
      <c r="P250" t="str">
        <f t="shared" si="11"/>
        <v>Asian</v>
      </c>
      <c r="Q250">
        <v>37.4582762</v>
      </c>
      <c r="R250">
        <v>-122.1739822</v>
      </c>
      <c r="S250" t="str">
        <f t="shared" si="9"/>
        <v/>
      </c>
    </row>
    <row r="251" spans="1:19">
      <c r="A251" t="s">
        <v>530</v>
      </c>
      <c r="B251" t="s">
        <v>531</v>
      </c>
      <c r="C251" t="s">
        <v>999</v>
      </c>
      <c r="D251" t="s">
        <v>890</v>
      </c>
      <c r="E251" t="str">
        <f t="shared" si="10"/>
        <v>Department of Urology/URO-Urology</v>
      </c>
      <c r="F251" t="s">
        <v>18</v>
      </c>
      <c r="G251" s="2" t="s">
        <v>866</v>
      </c>
      <c r="H251" t="s">
        <v>10</v>
      </c>
      <c r="I251" t="s">
        <v>11</v>
      </c>
      <c r="J251" s="1">
        <v>46934</v>
      </c>
      <c r="K251">
        <v>1</v>
      </c>
      <c r="L251" t="s">
        <v>972</v>
      </c>
      <c r="M251" t="s">
        <v>979</v>
      </c>
      <c r="N251" t="s">
        <v>11</v>
      </c>
      <c r="O251">
        <v>2023</v>
      </c>
      <c r="P251" t="str">
        <f t="shared" si="11"/>
        <v>Asian</v>
      </c>
      <c r="Q251">
        <v>40.443128700000003</v>
      </c>
      <c r="R251">
        <v>-79.961324099999999</v>
      </c>
      <c r="S251" t="str">
        <f t="shared" si="9"/>
        <v/>
      </c>
    </row>
    <row r="252" spans="1:19">
      <c r="A252" t="s">
        <v>688</v>
      </c>
      <c r="B252" t="s">
        <v>689</v>
      </c>
      <c r="C252" t="s">
        <v>990</v>
      </c>
      <c r="D252" t="s">
        <v>886</v>
      </c>
      <c r="E252" t="str">
        <f t="shared" si="10"/>
        <v>Department of Anesthesia/ANES-Anesthesiology</v>
      </c>
      <c r="F252" t="s">
        <v>183</v>
      </c>
      <c r="G252" s="2" t="s">
        <v>866</v>
      </c>
      <c r="H252" t="s">
        <v>15</v>
      </c>
      <c r="I252" t="s">
        <v>21</v>
      </c>
      <c r="J252" s="1">
        <v>45838</v>
      </c>
      <c r="K252">
        <v>3</v>
      </c>
      <c r="L252" t="s">
        <v>972</v>
      </c>
      <c r="M252" t="s">
        <v>965</v>
      </c>
      <c r="N252" t="s">
        <v>21</v>
      </c>
      <c r="O252">
        <v>2023</v>
      </c>
      <c r="P252" t="str">
        <f t="shared" si="11"/>
        <v>White</v>
      </c>
      <c r="Q252">
        <v>40.347099999999998</v>
      </c>
      <c r="R252">
        <v>-74.661600000000007</v>
      </c>
      <c r="S252" t="str">
        <f t="shared" si="9"/>
        <v/>
      </c>
    </row>
    <row r="253" spans="1:19">
      <c r="A253" t="s">
        <v>805</v>
      </c>
      <c r="B253" t="s">
        <v>806</v>
      </c>
      <c r="C253" t="s">
        <v>988</v>
      </c>
      <c r="D253" t="s">
        <v>904</v>
      </c>
      <c r="E253" t="str">
        <f t="shared" si="10"/>
        <v>Department of Medicine/MED-Hematology And Medical Oncology</v>
      </c>
      <c r="F253" t="s">
        <v>9</v>
      </c>
      <c r="G253" s="2" t="s">
        <v>865</v>
      </c>
      <c r="H253" t="s">
        <v>10</v>
      </c>
      <c r="I253" t="s">
        <v>11</v>
      </c>
      <c r="J253" s="1">
        <v>46203</v>
      </c>
      <c r="K253">
        <v>4</v>
      </c>
      <c r="L253" t="s">
        <v>972</v>
      </c>
      <c r="M253" t="s">
        <v>981</v>
      </c>
      <c r="N253" t="s">
        <v>11</v>
      </c>
      <c r="O253">
        <v>2023</v>
      </c>
      <c r="P253" t="str">
        <f t="shared" si="11"/>
        <v>Asian</v>
      </c>
      <c r="Q253">
        <v>42.336831850000003</v>
      </c>
      <c r="R253">
        <v>-71.103809211180575</v>
      </c>
      <c r="S253" t="str">
        <f t="shared" si="9"/>
        <v/>
      </c>
    </row>
    <row r="254" spans="1:19">
      <c r="A254" t="s">
        <v>672</v>
      </c>
      <c r="B254" t="s">
        <v>673</v>
      </c>
      <c r="C254" t="s">
        <v>993</v>
      </c>
      <c r="D254" t="s">
        <v>917</v>
      </c>
      <c r="E254" t="str">
        <f t="shared" si="10"/>
        <v>Department of Neurology/NEURO-Neurology</v>
      </c>
      <c r="F254" t="s">
        <v>183</v>
      </c>
      <c r="G254" s="2" t="s">
        <v>866</v>
      </c>
      <c r="H254" t="s">
        <v>10</v>
      </c>
      <c r="I254" t="s">
        <v>21</v>
      </c>
      <c r="J254" s="1">
        <v>45473</v>
      </c>
      <c r="K254">
        <v>4</v>
      </c>
      <c r="L254" t="s">
        <v>972</v>
      </c>
      <c r="M254" t="s">
        <v>983</v>
      </c>
      <c r="N254" t="s">
        <v>21</v>
      </c>
      <c r="O254">
        <v>2023</v>
      </c>
      <c r="P254" t="str">
        <f t="shared" si="11"/>
        <v>White</v>
      </c>
      <c r="Q254">
        <v>32.874409200000002</v>
      </c>
      <c r="R254">
        <v>-117.23611849678871</v>
      </c>
      <c r="S254" t="str">
        <f t="shared" si="9"/>
        <v/>
      </c>
    </row>
    <row r="255" spans="1:19">
      <c r="A255" t="s">
        <v>709</v>
      </c>
      <c r="B255" t="s">
        <v>31</v>
      </c>
      <c r="C255" t="s">
        <v>999</v>
      </c>
      <c r="D255" t="s">
        <v>890</v>
      </c>
      <c r="E255" t="str">
        <f t="shared" si="10"/>
        <v>Department of Urology/URO-Urology</v>
      </c>
      <c r="F255" t="s">
        <v>183</v>
      </c>
      <c r="G255" s="2" t="s">
        <v>866</v>
      </c>
      <c r="H255" t="s">
        <v>15</v>
      </c>
      <c r="I255" t="s">
        <v>11</v>
      </c>
      <c r="J255" s="1">
        <v>46203</v>
      </c>
      <c r="K255">
        <v>3</v>
      </c>
      <c r="L255" t="s">
        <v>972</v>
      </c>
      <c r="M255" t="s">
        <v>979</v>
      </c>
      <c r="N255" t="s">
        <v>11</v>
      </c>
      <c r="O255">
        <v>2023</v>
      </c>
      <c r="P255" t="str">
        <f t="shared" si="11"/>
        <v>Asian</v>
      </c>
      <c r="Q255">
        <v>40.443128700000003</v>
      </c>
      <c r="R255">
        <v>-79.961324099999999</v>
      </c>
      <c r="S255" t="str">
        <f t="shared" si="9"/>
        <v/>
      </c>
    </row>
    <row r="256" spans="1:19">
      <c r="A256" t="s">
        <v>354</v>
      </c>
      <c r="B256" t="s">
        <v>355</v>
      </c>
      <c r="C256" t="s">
        <v>994</v>
      </c>
      <c r="D256" t="s">
        <v>919</v>
      </c>
      <c r="E256" t="str">
        <f t="shared" si="10"/>
        <v>Department of Pathology/PATH-Pathology</v>
      </c>
      <c r="F256" t="s">
        <v>183</v>
      </c>
      <c r="G256" s="2" t="s">
        <v>866</v>
      </c>
      <c r="H256" t="s">
        <v>15</v>
      </c>
      <c r="I256" t="s">
        <v>21</v>
      </c>
      <c r="J256" s="1">
        <v>45831</v>
      </c>
      <c r="K256">
        <v>3</v>
      </c>
      <c r="L256" t="s">
        <v>972</v>
      </c>
      <c r="M256" t="s">
        <v>986</v>
      </c>
      <c r="N256" t="s">
        <v>21</v>
      </c>
      <c r="O256">
        <v>2023</v>
      </c>
      <c r="P256" t="str">
        <f t="shared" si="11"/>
        <v>White</v>
      </c>
      <c r="Q256">
        <v>36.005368400000002</v>
      </c>
      <c r="R256">
        <v>-78.938201699999993</v>
      </c>
      <c r="S256" t="str">
        <f t="shared" si="9"/>
        <v/>
      </c>
    </row>
    <row r="257" spans="1:19">
      <c r="A257" t="s">
        <v>245</v>
      </c>
      <c r="B257" t="s">
        <v>246</v>
      </c>
      <c r="C257" t="s">
        <v>989</v>
      </c>
      <c r="D257" t="s">
        <v>889</v>
      </c>
      <c r="E257" t="str">
        <f t="shared" si="10"/>
        <v>Department of Surgery/SURG-Surgery</v>
      </c>
      <c r="F257" t="s">
        <v>24</v>
      </c>
      <c r="G257" t="s">
        <v>969</v>
      </c>
      <c r="H257" t="s">
        <v>10</v>
      </c>
      <c r="I257" t="s">
        <v>11</v>
      </c>
      <c r="J257" s="1">
        <v>46196</v>
      </c>
      <c r="K257">
        <v>3</v>
      </c>
      <c r="L257" t="s">
        <v>972</v>
      </c>
      <c r="M257" t="s">
        <v>986</v>
      </c>
      <c r="N257" t="s">
        <v>11</v>
      </c>
      <c r="O257">
        <v>2023</v>
      </c>
      <c r="P257" t="str">
        <f t="shared" si="11"/>
        <v>Asian</v>
      </c>
      <c r="Q257">
        <v>36.005368400000002</v>
      </c>
      <c r="R257">
        <v>-78.938201699999993</v>
      </c>
      <c r="S257" t="str">
        <f t="shared" si="9"/>
        <v/>
      </c>
    </row>
    <row r="258" spans="1:19">
      <c r="A258" t="s">
        <v>245</v>
      </c>
      <c r="B258" t="s">
        <v>525</v>
      </c>
      <c r="C258" t="s">
        <v>989</v>
      </c>
      <c r="D258" t="s">
        <v>889</v>
      </c>
      <c r="E258" t="str">
        <f t="shared" si="10"/>
        <v>Department of Surgery/SURG-Surgery</v>
      </c>
      <c r="F258" t="s">
        <v>18</v>
      </c>
      <c r="G258" s="2" t="s">
        <v>866</v>
      </c>
      <c r="H258" t="s">
        <v>15</v>
      </c>
      <c r="I258" t="s">
        <v>11</v>
      </c>
      <c r="J258" s="1">
        <v>46927</v>
      </c>
      <c r="K258">
        <v>1</v>
      </c>
      <c r="L258" t="s">
        <v>972</v>
      </c>
      <c r="M258" t="s">
        <v>979</v>
      </c>
      <c r="N258" t="s">
        <v>11</v>
      </c>
      <c r="O258">
        <v>2023</v>
      </c>
      <c r="P258" t="str">
        <f t="shared" si="11"/>
        <v>Asian</v>
      </c>
      <c r="Q258">
        <v>40.443128700000003</v>
      </c>
      <c r="R258">
        <v>-79.961324099999999</v>
      </c>
      <c r="S258" t="str">
        <f t="shared" ref="S258:S321" si="13">IF(N258="URM",1,"")</f>
        <v/>
      </c>
    </row>
    <row r="259" spans="1:19">
      <c r="A259" t="s">
        <v>596</v>
      </c>
      <c r="B259" t="s">
        <v>93</v>
      </c>
      <c r="C259" t="s">
        <v>990</v>
      </c>
      <c r="D259" t="s">
        <v>886</v>
      </c>
      <c r="E259" t="str">
        <f t="shared" ref="E259:E322" si="14">C259&amp;"/"&amp;D259</f>
        <v>Department of Anesthesia/ANES-Anesthesiology</v>
      </c>
      <c r="F259" t="s">
        <v>74</v>
      </c>
      <c r="G259" s="2" t="s">
        <v>866</v>
      </c>
      <c r="H259" t="s">
        <v>15</v>
      </c>
      <c r="I259" t="s">
        <v>83</v>
      </c>
      <c r="J259" s="1">
        <v>45473</v>
      </c>
      <c r="K259">
        <v>4</v>
      </c>
      <c r="L259" t="s">
        <v>972</v>
      </c>
      <c r="M259" t="s">
        <v>965</v>
      </c>
      <c r="N259" t="s">
        <v>966</v>
      </c>
      <c r="O259">
        <v>2023</v>
      </c>
      <c r="P259" t="str">
        <f t="shared" ref="P259:P322" si="15">I259</f>
        <v>Hispanic or Latino</v>
      </c>
      <c r="Q259">
        <v>40.347099999999998</v>
      </c>
      <c r="R259">
        <v>-74.661600000000007</v>
      </c>
      <c r="S259">
        <f t="shared" si="13"/>
        <v>1</v>
      </c>
    </row>
    <row r="260" spans="1:19">
      <c r="A260" t="s">
        <v>578</v>
      </c>
      <c r="B260" t="s">
        <v>579</v>
      </c>
      <c r="C260" t="s">
        <v>990</v>
      </c>
      <c r="D260" t="s">
        <v>886</v>
      </c>
      <c r="E260" t="str">
        <f t="shared" si="14"/>
        <v>Department of Anesthesia/ANES-Anesthesiology</v>
      </c>
      <c r="F260" t="s">
        <v>74</v>
      </c>
      <c r="G260" s="2" t="s">
        <v>866</v>
      </c>
      <c r="H260" t="s">
        <v>15</v>
      </c>
      <c r="I260" t="s">
        <v>11</v>
      </c>
      <c r="J260" s="1">
        <v>45473</v>
      </c>
      <c r="K260">
        <v>4</v>
      </c>
      <c r="L260" t="s">
        <v>972</v>
      </c>
      <c r="M260" t="s">
        <v>980</v>
      </c>
      <c r="N260" t="s">
        <v>11</v>
      </c>
      <c r="O260">
        <v>2023</v>
      </c>
      <c r="P260" t="str">
        <f t="shared" si="15"/>
        <v>Asian</v>
      </c>
      <c r="Q260">
        <v>34.064282899999988</v>
      </c>
      <c r="R260">
        <v>-118.44235620000001</v>
      </c>
      <c r="S260" t="str">
        <f t="shared" si="13"/>
        <v/>
      </c>
    </row>
    <row r="261" spans="1:19">
      <c r="A261" t="s">
        <v>342</v>
      </c>
      <c r="B261" t="s">
        <v>343</v>
      </c>
      <c r="C261" t="s">
        <v>996</v>
      </c>
      <c r="D261" t="s">
        <v>960</v>
      </c>
      <c r="E261" t="str">
        <f t="shared" si="14"/>
        <v>Department of Obstetrics &amp; Gynecology/OB/GYN-Obstetrics &amp; Gynecology</v>
      </c>
      <c r="F261" t="s">
        <v>183</v>
      </c>
      <c r="G261" s="2" t="s">
        <v>866</v>
      </c>
      <c r="H261" t="s">
        <v>10</v>
      </c>
      <c r="I261" t="s">
        <v>21</v>
      </c>
      <c r="J261" s="1">
        <v>45831</v>
      </c>
      <c r="K261">
        <v>3</v>
      </c>
      <c r="L261" t="s">
        <v>972</v>
      </c>
      <c r="M261" t="s">
        <v>983</v>
      </c>
      <c r="N261" t="s">
        <v>21</v>
      </c>
      <c r="O261">
        <v>2023</v>
      </c>
      <c r="P261" t="str">
        <f t="shared" si="15"/>
        <v>White</v>
      </c>
      <c r="Q261">
        <v>32.874409200000002</v>
      </c>
      <c r="R261">
        <v>-117.23611849678871</v>
      </c>
      <c r="S261" t="str">
        <f t="shared" si="13"/>
        <v/>
      </c>
    </row>
    <row r="262" spans="1:19">
      <c r="A262" t="s">
        <v>169</v>
      </c>
      <c r="B262" t="s">
        <v>122</v>
      </c>
      <c r="C262" t="s">
        <v>988</v>
      </c>
      <c r="D262" t="s">
        <v>887</v>
      </c>
      <c r="E262" t="str">
        <f t="shared" si="14"/>
        <v>Department of Medicine/MED-Internal Medicine</v>
      </c>
      <c r="F262" t="s">
        <v>168</v>
      </c>
      <c r="G262" t="s">
        <v>969</v>
      </c>
      <c r="H262" t="s">
        <v>15</v>
      </c>
      <c r="I262" t="s">
        <v>21</v>
      </c>
      <c r="J262" s="1" t="s">
        <v>40</v>
      </c>
      <c r="K262" t="s">
        <v>40</v>
      </c>
      <c r="L262" t="s">
        <v>972</v>
      </c>
      <c r="M262" t="s">
        <v>977</v>
      </c>
      <c r="N262" t="s">
        <v>21</v>
      </c>
      <c r="O262">
        <v>2023</v>
      </c>
      <c r="P262" t="str">
        <f t="shared" si="15"/>
        <v>White</v>
      </c>
      <c r="Q262">
        <v>39.745566599999997</v>
      </c>
      <c r="R262">
        <v>-104.8359873</v>
      </c>
      <c r="S262" t="str">
        <f t="shared" si="13"/>
        <v/>
      </c>
    </row>
    <row r="263" spans="1:19">
      <c r="A263" t="s">
        <v>639</v>
      </c>
      <c r="B263" t="s">
        <v>640</v>
      </c>
      <c r="C263" t="s">
        <v>990</v>
      </c>
      <c r="D263" t="s">
        <v>896</v>
      </c>
      <c r="E263" t="str">
        <f t="shared" si="14"/>
        <v>Department of Anesthesia/ANES-Critical Care Medicine</v>
      </c>
      <c r="F263" t="s">
        <v>9</v>
      </c>
      <c r="G263" s="2" t="s">
        <v>865</v>
      </c>
      <c r="H263" t="s">
        <v>15</v>
      </c>
      <c r="I263" t="s">
        <v>80</v>
      </c>
      <c r="J263" s="1">
        <v>45473</v>
      </c>
      <c r="K263">
        <v>5</v>
      </c>
      <c r="L263" t="s">
        <v>972</v>
      </c>
      <c r="M263" t="s">
        <v>965</v>
      </c>
      <c r="N263" t="s">
        <v>80</v>
      </c>
      <c r="O263">
        <v>2023</v>
      </c>
      <c r="P263" t="str">
        <f t="shared" si="15"/>
        <v>Other</v>
      </c>
      <c r="Q263">
        <v>40.347099999999998</v>
      </c>
      <c r="R263">
        <v>-74.661600000000007</v>
      </c>
      <c r="S263" t="str">
        <f t="shared" si="13"/>
        <v/>
      </c>
    </row>
    <row r="264" spans="1:19">
      <c r="A264" t="s">
        <v>188</v>
      </c>
      <c r="B264" t="s">
        <v>189</v>
      </c>
      <c r="C264" t="s">
        <v>993</v>
      </c>
      <c r="D264" t="s">
        <v>917</v>
      </c>
      <c r="E264" t="str">
        <f t="shared" si="14"/>
        <v>Department of Neurology/NEURO-Neurology</v>
      </c>
      <c r="F264" t="s">
        <v>183</v>
      </c>
      <c r="G264" s="2" t="s">
        <v>866</v>
      </c>
      <c r="H264" t="s">
        <v>10</v>
      </c>
      <c r="I264" t="s">
        <v>21</v>
      </c>
      <c r="J264" s="1">
        <v>45473</v>
      </c>
      <c r="K264">
        <v>4</v>
      </c>
      <c r="L264" t="s">
        <v>972</v>
      </c>
      <c r="M264" t="s">
        <v>983</v>
      </c>
      <c r="N264" t="s">
        <v>21</v>
      </c>
      <c r="O264">
        <v>2023</v>
      </c>
      <c r="P264" t="str">
        <f t="shared" si="15"/>
        <v>White</v>
      </c>
      <c r="Q264">
        <v>32.874409200000002</v>
      </c>
      <c r="R264">
        <v>-117.23611849678871</v>
      </c>
      <c r="S264" t="str">
        <f t="shared" si="13"/>
        <v/>
      </c>
    </row>
    <row r="265" spans="1:19">
      <c r="A265" t="s">
        <v>503</v>
      </c>
      <c r="B265" t="s">
        <v>504</v>
      </c>
      <c r="C265" t="s">
        <v>990</v>
      </c>
      <c r="D265" t="s">
        <v>886</v>
      </c>
      <c r="E265" t="str">
        <f t="shared" si="14"/>
        <v>Department of Anesthesia/ANES-Anesthesiology</v>
      </c>
      <c r="F265" t="s">
        <v>18</v>
      </c>
      <c r="G265" s="2" t="s">
        <v>866</v>
      </c>
      <c r="H265" t="s">
        <v>15</v>
      </c>
      <c r="I265" t="s">
        <v>11</v>
      </c>
      <c r="J265" s="1">
        <v>46568</v>
      </c>
      <c r="K265">
        <v>1</v>
      </c>
      <c r="L265" t="s">
        <v>972</v>
      </c>
      <c r="M265" t="s">
        <v>980</v>
      </c>
      <c r="N265" t="s">
        <v>11</v>
      </c>
      <c r="O265">
        <v>2023</v>
      </c>
      <c r="P265" t="str">
        <f t="shared" si="15"/>
        <v>Asian</v>
      </c>
      <c r="Q265">
        <v>34.064282899999988</v>
      </c>
      <c r="R265">
        <v>-118.44235620000001</v>
      </c>
      <c r="S265" t="str">
        <f t="shared" si="13"/>
        <v/>
      </c>
    </row>
    <row r="266" spans="1:19">
      <c r="A266" t="s">
        <v>622</v>
      </c>
      <c r="B266" t="s">
        <v>623</v>
      </c>
      <c r="C266" t="s">
        <v>992</v>
      </c>
      <c r="D266" t="s">
        <v>915</v>
      </c>
      <c r="E266" t="str">
        <f t="shared" si="14"/>
        <v>Department of Cardiac Surgery/CARDSURG-Thoracic Surgery-Integrated</v>
      </c>
      <c r="F266" t="s">
        <v>29</v>
      </c>
      <c r="G266" s="2" t="s">
        <v>866</v>
      </c>
      <c r="H266" t="s">
        <v>15</v>
      </c>
      <c r="I266" t="s">
        <v>21</v>
      </c>
      <c r="J266" s="1">
        <v>46934</v>
      </c>
      <c r="K266">
        <v>2</v>
      </c>
      <c r="L266" t="s">
        <v>972</v>
      </c>
      <c r="M266" t="s">
        <v>984</v>
      </c>
      <c r="N266" t="s">
        <v>21</v>
      </c>
      <c r="O266">
        <v>2023</v>
      </c>
      <c r="P266" t="str">
        <f t="shared" si="15"/>
        <v>White</v>
      </c>
      <c r="Q266">
        <v>34.061138</v>
      </c>
      <c r="R266">
        <v>-118.2057365</v>
      </c>
      <c r="S266" t="str">
        <f t="shared" si="13"/>
        <v/>
      </c>
    </row>
    <row r="267" spans="1:19">
      <c r="A267" t="s">
        <v>456</v>
      </c>
      <c r="B267" t="s">
        <v>457</v>
      </c>
      <c r="C267" t="s">
        <v>988</v>
      </c>
      <c r="D267" t="s">
        <v>887</v>
      </c>
      <c r="E267" t="str">
        <f t="shared" si="14"/>
        <v>Department of Medicine/MED-Internal Medicine</v>
      </c>
      <c r="F267" t="s">
        <v>29</v>
      </c>
      <c r="G267" s="2" t="s">
        <v>866</v>
      </c>
      <c r="H267" t="s">
        <v>15</v>
      </c>
      <c r="I267" t="s">
        <v>21</v>
      </c>
      <c r="J267" s="1">
        <v>45831</v>
      </c>
      <c r="K267">
        <v>2</v>
      </c>
      <c r="L267" t="s">
        <v>972</v>
      </c>
      <c r="M267" t="s">
        <v>978</v>
      </c>
      <c r="N267" t="s">
        <v>21</v>
      </c>
      <c r="O267">
        <v>2023</v>
      </c>
      <c r="P267" t="str">
        <f t="shared" si="15"/>
        <v>White</v>
      </c>
      <c r="Q267">
        <v>33.793635299999998</v>
      </c>
      <c r="R267">
        <v>-84.322179556478247</v>
      </c>
      <c r="S267" t="str">
        <f t="shared" si="13"/>
        <v/>
      </c>
    </row>
    <row r="268" spans="1:19">
      <c r="A268" t="s">
        <v>526</v>
      </c>
      <c r="B268" t="s">
        <v>125</v>
      </c>
      <c r="C268" t="s">
        <v>989</v>
      </c>
      <c r="D268" t="s">
        <v>889</v>
      </c>
      <c r="E268" t="str">
        <f t="shared" si="14"/>
        <v>Department of Surgery/SURG-Surgery</v>
      </c>
      <c r="F268" t="s">
        <v>18</v>
      </c>
      <c r="G268" s="2" t="s">
        <v>866</v>
      </c>
      <c r="H268" t="s">
        <v>15</v>
      </c>
      <c r="I268" t="s">
        <v>163</v>
      </c>
      <c r="J268" s="1">
        <v>46927</v>
      </c>
      <c r="K268">
        <v>1</v>
      </c>
      <c r="L268" t="s">
        <v>972</v>
      </c>
      <c r="M268" t="s">
        <v>979</v>
      </c>
      <c r="N268" t="s">
        <v>11</v>
      </c>
      <c r="O268">
        <v>2023</v>
      </c>
      <c r="P268" t="s">
        <v>11</v>
      </c>
      <c r="Q268">
        <v>40.443128700000003</v>
      </c>
      <c r="R268">
        <v>-79.961324099999999</v>
      </c>
      <c r="S268" t="str">
        <f t="shared" si="13"/>
        <v/>
      </c>
    </row>
    <row r="269" spans="1:19">
      <c r="A269" t="s">
        <v>190</v>
      </c>
      <c r="B269" t="s">
        <v>191</v>
      </c>
      <c r="C269" t="s">
        <v>993</v>
      </c>
      <c r="D269" t="s">
        <v>917</v>
      </c>
      <c r="E269" t="str">
        <f t="shared" si="14"/>
        <v>Department of Neurology/NEURO-Neurology</v>
      </c>
      <c r="F269" t="s">
        <v>183</v>
      </c>
      <c r="G269" s="2" t="s">
        <v>866</v>
      </c>
      <c r="H269" t="s">
        <v>15</v>
      </c>
      <c r="I269" t="s">
        <v>21</v>
      </c>
      <c r="J269" s="1">
        <v>45473</v>
      </c>
      <c r="K269">
        <v>4</v>
      </c>
      <c r="L269" t="s">
        <v>972</v>
      </c>
      <c r="M269" t="s">
        <v>983</v>
      </c>
      <c r="N269" t="s">
        <v>21</v>
      </c>
      <c r="O269">
        <v>2023</v>
      </c>
      <c r="P269" t="str">
        <f t="shared" si="15"/>
        <v>White</v>
      </c>
      <c r="Q269">
        <v>32.874409200000002</v>
      </c>
      <c r="R269">
        <v>-117.23611849678871</v>
      </c>
      <c r="S269" t="str">
        <f t="shared" si="13"/>
        <v/>
      </c>
    </row>
    <row r="270" spans="1:19">
      <c r="A270" t="s">
        <v>501</v>
      </c>
      <c r="B270" t="s">
        <v>502</v>
      </c>
      <c r="C270" t="s">
        <v>990</v>
      </c>
      <c r="D270" t="s">
        <v>886</v>
      </c>
      <c r="E270" t="str">
        <f t="shared" si="14"/>
        <v>Department of Anesthesia/ANES-Anesthesiology</v>
      </c>
      <c r="F270" t="s">
        <v>18</v>
      </c>
      <c r="G270" s="2" t="s">
        <v>866</v>
      </c>
      <c r="H270" t="s">
        <v>15</v>
      </c>
      <c r="I270" t="s">
        <v>21</v>
      </c>
      <c r="J270" s="1">
        <v>46568</v>
      </c>
      <c r="K270">
        <v>1</v>
      </c>
      <c r="L270" t="s">
        <v>972</v>
      </c>
      <c r="M270" t="s">
        <v>965</v>
      </c>
      <c r="N270" t="s">
        <v>21</v>
      </c>
      <c r="O270">
        <v>2023</v>
      </c>
      <c r="P270" t="str">
        <f t="shared" si="15"/>
        <v>White</v>
      </c>
      <c r="Q270">
        <v>40.347099999999998</v>
      </c>
      <c r="R270">
        <v>-74.661600000000007</v>
      </c>
      <c r="S270" t="str">
        <f t="shared" si="13"/>
        <v/>
      </c>
    </row>
    <row r="271" spans="1:19">
      <c r="A271" t="s">
        <v>695</v>
      </c>
      <c r="B271" t="s">
        <v>696</v>
      </c>
      <c r="C271" t="s">
        <v>990</v>
      </c>
      <c r="D271" t="s">
        <v>886</v>
      </c>
      <c r="E271" t="str">
        <f t="shared" si="14"/>
        <v>Department of Anesthesia/ANES-Anesthesiology</v>
      </c>
      <c r="F271" t="s">
        <v>183</v>
      </c>
      <c r="G271" s="2" t="s">
        <v>866</v>
      </c>
      <c r="H271" t="s">
        <v>15</v>
      </c>
      <c r="I271" t="s">
        <v>21</v>
      </c>
      <c r="J271" s="1">
        <v>45838</v>
      </c>
      <c r="K271">
        <v>3</v>
      </c>
      <c r="L271" t="s">
        <v>972</v>
      </c>
      <c r="M271" t="s">
        <v>965</v>
      </c>
      <c r="N271" t="s">
        <v>21</v>
      </c>
      <c r="O271">
        <v>2023</v>
      </c>
      <c r="P271" t="str">
        <f t="shared" si="15"/>
        <v>White</v>
      </c>
      <c r="Q271">
        <v>40.347099999999998</v>
      </c>
      <c r="R271">
        <v>-74.661600000000007</v>
      </c>
      <c r="S271" t="str">
        <f t="shared" si="13"/>
        <v/>
      </c>
    </row>
    <row r="272" spans="1:19">
      <c r="A272" t="s">
        <v>667</v>
      </c>
      <c r="B272" t="s">
        <v>668</v>
      </c>
      <c r="C272" t="s">
        <v>991</v>
      </c>
      <c r="D272" t="s">
        <v>909</v>
      </c>
      <c r="E272" t="str">
        <f t="shared" si="14"/>
        <v>Department of Cardiology/CARD-Advanced Heart Disease Research</v>
      </c>
      <c r="F272" t="s">
        <v>9</v>
      </c>
      <c r="G272" t="s">
        <v>969</v>
      </c>
      <c r="H272" t="s">
        <v>10</v>
      </c>
      <c r="I272" t="s">
        <v>11</v>
      </c>
      <c r="J272" s="1">
        <v>46203</v>
      </c>
      <c r="K272">
        <v>7</v>
      </c>
      <c r="L272" t="s">
        <v>972</v>
      </c>
      <c r="M272" t="s">
        <v>982</v>
      </c>
      <c r="N272" t="s">
        <v>11</v>
      </c>
      <c r="O272">
        <v>2023</v>
      </c>
      <c r="P272" t="str">
        <f t="shared" si="15"/>
        <v>Asian</v>
      </c>
      <c r="Q272">
        <v>40.841542800000013</v>
      </c>
      <c r="R272">
        <v>-73.94139229999999</v>
      </c>
      <c r="S272" t="str">
        <f t="shared" si="13"/>
        <v/>
      </c>
    </row>
    <row r="273" spans="1:19">
      <c r="A273" t="s">
        <v>641</v>
      </c>
      <c r="B273" t="s">
        <v>642</v>
      </c>
      <c r="C273" t="s">
        <v>988</v>
      </c>
      <c r="D273" t="s">
        <v>956</v>
      </c>
      <c r="E273" t="str">
        <f t="shared" si="14"/>
        <v>Department of Medicine/MED-Pulmonary/Critical Care Medicine</v>
      </c>
      <c r="F273" t="s">
        <v>9</v>
      </c>
      <c r="G273" s="2" t="s">
        <v>865</v>
      </c>
      <c r="H273" t="s">
        <v>15</v>
      </c>
      <c r="I273" t="s">
        <v>21</v>
      </c>
      <c r="J273" s="1">
        <v>45473</v>
      </c>
      <c r="K273">
        <v>7</v>
      </c>
      <c r="L273" t="s">
        <v>972</v>
      </c>
      <c r="M273" t="s">
        <v>978</v>
      </c>
      <c r="N273" t="s">
        <v>21</v>
      </c>
      <c r="O273">
        <v>2023</v>
      </c>
      <c r="P273" t="str">
        <f t="shared" si="15"/>
        <v>White</v>
      </c>
      <c r="Q273">
        <v>33.793635299999998</v>
      </c>
      <c r="R273">
        <v>-84.322179556478247</v>
      </c>
      <c r="S273" t="str">
        <f t="shared" si="13"/>
        <v/>
      </c>
    </row>
    <row r="274" spans="1:19">
      <c r="A274" t="s">
        <v>451</v>
      </c>
      <c r="B274" t="s">
        <v>452</v>
      </c>
      <c r="C274" t="s">
        <v>988</v>
      </c>
      <c r="D274" t="s">
        <v>887</v>
      </c>
      <c r="E274" t="str">
        <f t="shared" si="14"/>
        <v>Department of Medicine/MED-Internal Medicine</v>
      </c>
      <c r="F274" t="s">
        <v>29</v>
      </c>
      <c r="G274" s="2" t="s">
        <v>866</v>
      </c>
      <c r="H274" t="s">
        <v>10</v>
      </c>
      <c r="I274" t="s">
        <v>163</v>
      </c>
      <c r="J274" s="1">
        <v>45831</v>
      </c>
      <c r="K274">
        <v>2</v>
      </c>
      <c r="L274" t="s">
        <v>972</v>
      </c>
      <c r="M274" t="s">
        <v>977</v>
      </c>
      <c r="N274" t="s">
        <v>11</v>
      </c>
      <c r="O274">
        <v>2023</v>
      </c>
      <c r="P274" t="s">
        <v>11</v>
      </c>
      <c r="Q274">
        <v>39.745566599999997</v>
      </c>
      <c r="R274">
        <v>-104.8359873</v>
      </c>
      <c r="S274" t="str">
        <f t="shared" si="13"/>
        <v/>
      </c>
    </row>
    <row r="275" spans="1:19">
      <c r="A275" t="s">
        <v>128</v>
      </c>
      <c r="B275" t="s">
        <v>129</v>
      </c>
      <c r="C275" t="s">
        <v>988</v>
      </c>
      <c r="D275" t="s">
        <v>887</v>
      </c>
      <c r="E275" t="str">
        <f t="shared" si="14"/>
        <v>Department of Medicine/MED-Internal Medicine</v>
      </c>
      <c r="F275" t="s">
        <v>18</v>
      </c>
      <c r="G275" s="2" t="s">
        <v>866</v>
      </c>
      <c r="H275" t="s">
        <v>15</v>
      </c>
      <c r="I275" t="s">
        <v>21</v>
      </c>
      <c r="J275" s="1">
        <v>46196</v>
      </c>
      <c r="K275">
        <v>1</v>
      </c>
      <c r="L275" t="s">
        <v>972</v>
      </c>
      <c r="M275" t="s">
        <v>978</v>
      </c>
      <c r="N275" t="s">
        <v>21</v>
      </c>
      <c r="O275">
        <v>2023</v>
      </c>
      <c r="P275" t="str">
        <f t="shared" si="15"/>
        <v>White</v>
      </c>
      <c r="Q275">
        <v>33.793635299999998</v>
      </c>
      <c r="R275">
        <v>-84.322179556478247</v>
      </c>
      <c r="S275" t="str">
        <f t="shared" si="13"/>
        <v/>
      </c>
    </row>
    <row r="276" spans="1:19">
      <c r="A276" t="s">
        <v>509</v>
      </c>
      <c r="B276" t="s">
        <v>510</v>
      </c>
      <c r="C276" t="s">
        <v>996</v>
      </c>
      <c r="D276" t="s">
        <v>960</v>
      </c>
      <c r="E276" t="str">
        <f t="shared" si="14"/>
        <v>Department of Obstetrics &amp; Gynecology/OB/GYN-Obstetrics &amp; Gynecology</v>
      </c>
      <c r="F276" t="s">
        <v>18</v>
      </c>
      <c r="G276" s="2" t="s">
        <v>866</v>
      </c>
      <c r="H276" t="s">
        <v>10</v>
      </c>
      <c r="I276" t="s">
        <v>21</v>
      </c>
      <c r="J276" s="1">
        <v>46561</v>
      </c>
      <c r="K276">
        <v>1</v>
      </c>
      <c r="L276" t="s">
        <v>972</v>
      </c>
      <c r="M276" t="s">
        <v>983</v>
      </c>
      <c r="N276" t="s">
        <v>21</v>
      </c>
      <c r="O276">
        <v>2023</v>
      </c>
      <c r="P276" t="str">
        <f t="shared" si="15"/>
        <v>White</v>
      </c>
      <c r="Q276">
        <v>32.874409200000002</v>
      </c>
      <c r="R276">
        <v>-117.23611849678871</v>
      </c>
      <c r="S276" t="str">
        <f t="shared" si="13"/>
        <v/>
      </c>
    </row>
    <row r="277" spans="1:19">
      <c r="A277" t="s">
        <v>858</v>
      </c>
      <c r="B277" t="s">
        <v>87</v>
      </c>
      <c r="C277" t="s">
        <v>999</v>
      </c>
      <c r="D277" t="s">
        <v>890</v>
      </c>
      <c r="E277" t="str">
        <f t="shared" si="14"/>
        <v>Department of Urology/URO-Urology</v>
      </c>
      <c r="F277" t="s">
        <v>225</v>
      </c>
      <c r="G277" s="2" t="s">
        <v>866</v>
      </c>
      <c r="H277" t="s">
        <v>40</v>
      </c>
      <c r="I277" t="s">
        <v>21</v>
      </c>
      <c r="J277" s="1">
        <v>45473</v>
      </c>
      <c r="K277">
        <v>5</v>
      </c>
      <c r="L277" t="s">
        <v>972</v>
      </c>
      <c r="M277" t="s">
        <v>979</v>
      </c>
      <c r="N277" t="s">
        <v>21</v>
      </c>
      <c r="O277">
        <v>2023</v>
      </c>
      <c r="P277" t="str">
        <f t="shared" si="15"/>
        <v>White</v>
      </c>
      <c r="Q277">
        <v>40.443128700000003</v>
      </c>
      <c r="R277">
        <v>-79.961324099999999</v>
      </c>
      <c r="S277" t="str">
        <f t="shared" si="13"/>
        <v/>
      </c>
    </row>
    <row r="278" spans="1:19">
      <c r="A278" t="s">
        <v>460</v>
      </c>
      <c r="B278" t="s">
        <v>461</v>
      </c>
      <c r="C278" t="s">
        <v>988</v>
      </c>
      <c r="D278" t="s">
        <v>887</v>
      </c>
      <c r="E278" t="str">
        <f t="shared" si="14"/>
        <v>Department of Medicine/MED-Internal Medicine</v>
      </c>
      <c r="F278" t="s">
        <v>29</v>
      </c>
      <c r="G278" s="2" t="s">
        <v>866</v>
      </c>
      <c r="H278" t="s">
        <v>15</v>
      </c>
      <c r="I278" t="s">
        <v>11</v>
      </c>
      <c r="J278" s="1">
        <v>45831</v>
      </c>
      <c r="K278">
        <v>2</v>
      </c>
      <c r="L278" t="s">
        <v>972</v>
      </c>
      <c r="M278" t="s">
        <v>977</v>
      </c>
      <c r="N278" t="s">
        <v>11</v>
      </c>
      <c r="O278">
        <v>2023</v>
      </c>
      <c r="P278" t="str">
        <f t="shared" si="15"/>
        <v>Asian</v>
      </c>
      <c r="Q278">
        <v>39.745566599999997</v>
      </c>
      <c r="R278">
        <v>-104.8359873</v>
      </c>
      <c r="S278" t="str">
        <f t="shared" si="13"/>
        <v/>
      </c>
    </row>
    <row r="279" spans="1:19">
      <c r="A279" t="s">
        <v>282</v>
      </c>
      <c r="B279" t="s">
        <v>283</v>
      </c>
      <c r="C279" t="s">
        <v>989</v>
      </c>
      <c r="D279" t="s">
        <v>889</v>
      </c>
      <c r="E279" t="str">
        <f t="shared" si="14"/>
        <v>Department of Surgery/SURG-Surgery</v>
      </c>
      <c r="F279" t="s">
        <v>183</v>
      </c>
      <c r="G279" s="2" t="s">
        <v>866</v>
      </c>
      <c r="H279" t="s">
        <v>15</v>
      </c>
      <c r="I279" t="s">
        <v>21</v>
      </c>
      <c r="J279" s="1">
        <v>46196</v>
      </c>
      <c r="K279">
        <v>3</v>
      </c>
      <c r="L279" t="s">
        <v>972</v>
      </c>
      <c r="M279" t="s">
        <v>979</v>
      </c>
      <c r="N279" t="s">
        <v>21</v>
      </c>
      <c r="O279">
        <v>2023</v>
      </c>
      <c r="P279" t="str">
        <f t="shared" si="15"/>
        <v>White</v>
      </c>
      <c r="Q279">
        <v>40.443128700000003</v>
      </c>
      <c r="R279">
        <v>-79.961324099999999</v>
      </c>
      <c r="S279" t="str">
        <f t="shared" si="13"/>
        <v/>
      </c>
    </row>
    <row r="280" spans="1:19">
      <c r="A280" t="s">
        <v>418</v>
      </c>
      <c r="B280" t="s">
        <v>419</v>
      </c>
      <c r="C280" t="s">
        <v>996</v>
      </c>
      <c r="D280" t="s">
        <v>960</v>
      </c>
      <c r="E280" t="str">
        <f t="shared" si="14"/>
        <v>Department of Obstetrics &amp; Gynecology/OB/GYN-Obstetrics &amp; Gynecology</v>
      </c>
      <c r="F280" t="s">
        <v>29</v>
      </c>
      <c r="G280" s="2" t="s">
        <v>866</v>
      </c>
      <c r="H280" t="s">
        <v>10</v>
      </c>
      <c r="I280" t="s">
        <v>96</v>
      </c>
      <c r="J280" s="1">
        <v>46196</v>
      </c>
      <c r="K280">
        <v>2</v>
      </c>
      <c r="L280" t="s">
        <v>972</v>
      </c>
      <c r="M280" t="s">
        <v>983</v>
      </c>
      <c r="N280" t="s">
        <v>966</v>
      </c>
      <c r="O280">
        <v>2023</v>
      </c>
      <c r="P280" t="str">
        <f t="shared" si="15"/>
        <v>Black or African American</v>
      </c>
      <c r="Q280">
        <v>32.874409200000002</v>
      </c>
      <c r="R280">
        <v>-117.23611849678871</v>
      </c>
      <c r="S280">
        <f t="shared" si="13"/>
        <v>1</v>
      </c>
    </row>
    <row r="281" spans="1:19">
      <c r="A281" t="s">
        <v>267</v>
      </c>
      <c r="B281" t="s">
        <v>268</v>
      </c>
      <c r="C281" t="s">
        <v>996</v>
      </c>
      <c r="D281" t="s">
        <v>960</v>
      </c>
      <c r="E281" t="str">
        <f t="shared" si="14"/>
        <v>Department of Obstetrics &amp; Gynecology/OB/GYN-Obstetrics &amp; Gynecology</v>
      </c>
      <c r="F281" t="s">
        <v>74</v>
      </c>
      <c r="G281" s="2" t="s">
        <v>866</v>
      </c>
      <c r="H281" t="s">
        <v>15</v>
      </c>
      <c r="I281" t="s">
        <v>21</v>
      </c>
      <c r="J281" s="1">
        <v>45466</v>
      </c>
      <c r="K281">
        <v>4</v>
      </c>
      <c r="L281" t="s">
        <v>972</v>
      </c>
      <c r="M281" t="s">
        <v>983</v>
      </c>
      <c r="N281" t="s">
        <v>21</v>
      </c>
      <c r="O281">
        <v>2023</v>
      </c>
      <c r="P281" t="str">
        <f t="shared" si="15"/>
        <v>White</v>
      </c>
      <c r="Q281">
        <v>32.874409200000002</v>
      </c>
      <c r="R281">
        <v>-117.23611849678871</v>
      </c>
      <c r="S281" t="str">
        <f t="shared" si="13"/>
        <v/>
      </c>
    </row>
    <row r="282" spans="1:19">
      <c r="A282" t="s">
        <v>50</v>
      </c>
      <c r="B282" t="s">
        <v>51</v>
      </c>
      <c r="C282" t="s">
        <v>994</v>
      </c>
      <c r="D282" t="s">
        <v>919</v>
      </c>
      <c r="E282" t="str">
        <f t="shared" si="14"/>
        <v>Department of Pathology/PATH-Pathology</v>
      </c>
      <c r="F282" t="s">
        <v>18</v>
      </c>
      <c r="G282" s="2" t="s">
        <v>866</v>
      </c>
      <c r="H282" t="s">
        <v>10</v>
      </c>
      <c r="I282" t="s">
        <v>21</v>
      </c>
      <c r="J282" s="1">
        <v>46561</v>
      </c>
      <c r="K282">
        <v>1</v>
      </c>
      <c r="L282" t="s">
        <v>972</v>
      </c>
      <c r="M282" t="s">
        <v>986</v>
      </c>
      <c r="N282" t="s">
        <v>21</v>
      </c>
      <c r="O282">
        <v>2023</v>
      </c>
      <c r="P282" t="str">
        <f t="shared" si="15"/>
        <v>White</v>
      </c>
      <c r="Q282">
        <v>36.005368400000002</v>
      </c>
      <c r="R282">
        <v>-78.938201699999993</v>
      </c>
      <c r="S282" t="str">
        <f t="shared" si="13"/>
        <v/>
      </c>
    </row>
    <row r="283" spans="1:19">
      <c r="A283" t="s">
        <v>850</v>
      </c>
      <c r="B283" t="s">
        <v>851</v>
      </c>
      <c r="C283" t="s">
        <v>993</v>
      </c>
      <c r="D283" t="s">
        <v>906</v>
      </c>
      <c r="E283" t="str">
        <f t="shared" si="14"/>
        <v>Department of Neurology/NEURO-Neurologic Critical Care</v>
      </c>
      <c r="F283" t="s">
        <v>9</v>
      </c>
      <c r="G283" s="2" t="s">
        <v>865</v>
      </c>
      <c r="H283" t="s">
        <v>15</v>
      </c>
      <c r="I283" t="s">
        <v>21</v>
      </c>
      <c r="J283" s="1">
        <v>45838</v>
      </c>
      <c r="K283">
        <v>5</v>
      </c>
      <c r="L283" t="s">
        <v>972</v>
      </c>
      <c r="M283" t="s">
        <v>978</v>
      </c>
      <c r="N283" t="s">
        <v>21</v>
      </c>
      <c r="O283">
        <v>2023</v>
      </c>
      <c r="P283" t="str">
        <f t="shared" si="15"/>
        <v>White</v>
      </c>
      <c r="Q283">
        <v>33.793635299999998</v>
      </c>
      <c r="R283">
        <v>-84.322179556478247</v>
      </c>
      <c r="S283" t="str">
        <f t="shared" si="13"/>
        <v/>
      </c>
    </row>
    <row r="284" spans="1:19">
      <c r="A284" t="s">
        <v>417</v>
      </c>
      <c r="B284" t="s">
        <v>333</v>
      </c>
      <c r="C284" t="s">
        <v>996</v>
      </c>
      <c r="D284" t="s">
        <v>960</v>
      </c>
      <c r="E284" t="str">
        <f t="shared" si="14"/>
        <v>Department of Obstetrics &amp; Gynecology/OB/GYN-Obstetrics &amp; Gynecology</v>
      </c>
      <c r="F284" t="s">
        <v>29</v>
      </c>
      <c r="G284" s="2" t="s">
        <v>866</v>
      </c>
      <c r="H284" t="s">
        <v>10</v>
      </c>
      <c r="I284" t="s">
        <v>21</v>
      </c>
      <c r="J284" s="1">
        <v>46196</v>
      </c>
      <c r="K284">
        <v>2</v>
      </c>
      <c r="L284" t="s">
        <v>972</v>
      </c>
      <c r="M284" t="s">
        <v>983</v>
      </c>
      <c r="N284" t="s">
        <v>21</v>
      </c>
      <c r="O284">
        <v>2023</v>
      </c>
      <c r="P284" t="str">
        <f t="shared" si="15"/>
        <v>White</v>
      </c>
      <c r="Q284">
        <v>32.874409200000002</v>
      </c>
      <c r="R284">
        <v>-117.23611849678871</v>
      </c>
      <c r="S284" t="str">
        <f t="shared" si="13"/>
        <v/>
      </c>
    </row>
    <row r="285" spans="1:19">
      <c r="A285" t="s">
        <v>468</v>
      </c>
      <c r="B285" t="s">
        <v>469</v>
      </c>
      <c r="C285" t="s">
        <v>988</v>
      </c>
      <c r="D285" t="s">
        <v>887</v>
      </c>
      <c r="E285" t="str">
        <f t="shared" si="14"/>
        <v>Department of Medicine/MED-Internal Medicine</v>
      </c>
      <c r="F285" t="s">
        <v>29</v>
      </c>
      <c r="G285" s="2" t="s">
        <v>866</v>
      </c>
      <c r="H285" t="s">
        <v>10</v>
      </c>
      <c r="I285" t="s">
        <v>973</v>
      </c>
      <c r="J285" s="1">
        <v>45831</v>
      </c>
      <c r="K285">
        <v>2</v>
      </c>
      <c r="L285" t="s">
        <v>972</v>
      </c>
      <c r="M285" t="s">
        <v>981</v>
      </c>
      <c r="N285" t="s">
        <v>973</v>
      </c>
      <c r="O285">
        <v>2023</v>
      </c>
      <c r="P285" t="str">
        <f t="shared" si="15"/>
        <v>No response/undeclared</v>
      </c>
      <c r="Q285">
        <v>42.336831850000003</v>
      </c>
      <c r="R285">
        <v>-71.103809211180575</v>
      </c>
      <c r="S285" t="str">
        <f t="shared" si="13"/>
        <v/>
      </c>
    </row>
    <row r="286" spans="1:19">
      <c r="A286" t="s">
        <v>442</v>
      </c>
      <c r="B286" t="s">
        <v>443</v>
      </c>
      <c r="C286" t="s">
        <v>994</v>
      </c>
      <c r="D286" t="s">
        <v>919</v>
      </c>
      <c r="E286" t="str">
        <f t="shared" si="14"/>
        <v>Department of Pathology/PATH-Pathology</v>
      </c>
      <c r="F286" t="s">
        <v>18</v>
      </c>
      <c r="G286" s="2" t="s">
        <v>866</v>
      </c>
      <c r="H286" t="s">
        <v>10</v>
      </c>
      <c r="I286" t="s">
        <v>21</v>
      </c>
      <c r="J286" s="1">
        <v>46561</v>
      </c>
      <c r="K286">
        <v>1</v>
      </c>
      <c r="L286" t="s">
        <v>972</v>
      </c>
      <c r="M286" t="s">
        <v>986</v>
      </c>
      <c r="N286" t="s">
        <v>21</v>
      </c>
      <c r="O286">
        <v>2023</v>
      </c>
      <c r="P286" t="str">
        <f t="shared" si="15"/>
        <v>White</v>
      </c>
      <c r="Q286">
        <v>36.005368400000002</v>
      </c>
      <c r="R286">
        <v>-78.938201699999993</v>
      </c>
      <c r="S286" t="str">
        <f t="shared" si="13"/>
        <v/>
      </c>
    </row>
    <row r="287" spans="1:19">
      <c r="A287" t="s">
        <v>62</v>
      </c>
      <c r="B287" t="s">
        <v>63</v>
      </c>
      <c r="C287" t="s">
        <v>989</v>
      </c>
      <c r="D287" t="s">
        <v>889</v>
      </c>
      <c r="E287" t="str">
        <f t="shared" si="14"/>
        <v>Department of Surgery/SURG-Surgery</v>
      </c>
      <c r="F287" t="s">
        <v>18</v>
      </c>
      <c r="G287" s="2" t="s">
        <v>866</v>
      </c>
      <c r="H287" t="s">
        <v>10</v>
      </c>
      <c r="I287" t="s">
        <v>21</v>
      </c>
      <c r="J287" s="1">
        <v>45466</v>
      </c>
      <c r="K287">
        <v>2</v>
      </c>
      <c r="L287" t="s">
        <v>972</v>
      </c>
      <c r="M287" t="s">
        <v>979</v>
      </c>
      <c r="N287" t="s">
        <v>21</v>
      </c>
      <c r="O287">
        <v>2023</v>
      </c>
      <c r="P287" t="str">
        <f t="shared" si="15"/>
        <v>White</v>
      </c>
      <c r="Q287">
        <v>40.443128700000003</v>
      </c>
      <c r="R287">
        <v>-79.961324099999999</v>
      </c>
      <c r="S287" t="str">
        <f t="shared" si="13"/>
        <v/>
      </c>
    </row>
    <row r="288" spans="1:19">
      <c r="A288" t="s">
        <v>507</v>
      </c>
      <c r="B288" t="s">
        <v>508</v>
      </c>
      <c r="C288" t="s">
        <v>997</v>
      </c>
      <c r="D288" t="s">
        <v>888</v>
      </c>
      <c r="E288" t="str">
        <f t="shared" si="14"/>
        <v>Department of Orthopedic Surgery/ORTHO-Orthopaedic Surgery</v>
      </c>
      <c r="F288" t="s">
        <v>18</v>
      </c>
      <c r="G288" s="2" t="s">
        <v>866</v>
      </c>
      <c r="H288" t="s">
        <v>10</v>
      </c>
      <c r="I288" t="s">
        <v>21</v>
      </c>
      <c r="J288" s="1">
        <v>46934</v>
      </c>
      <c r="K288">
        <v>1</v>
      </c>
      <c r="L288" t="s">
        <v>972</v>
      </c>
      <c r="M288" t="s">
        <v>983</v>
      </c>
      <c r="N288" t="s">
        <v>21</v>
      </c>
      <c r="O288">
        <v>2023</v>
      </c>
      <c r="P288" t="str">
        <f t="shared" si="15"/>
        <v>White</v>
      </c>
      <c r="Q288">
        <v>32.874409200000002</v>
      </c>
      <c r="R288">
        <v>-117.23611849678871</v>
      </c>
      <c r="S288" t="str">
        <f t="shared" si="13"/>
        <v/>
      </c>
    </row>
    <row r="289" spans="1:19">
      <c r="A289" t="s">
        <v>253</v>
      </c>
      <c r="B289" t="s">
        <v>58</v>
      </c>
      <c r="C289" t="s">
        <v>995</v>
      </c>
      <c r="D289" t="s">
        <v>918</v>
      </c>
      <c r="E289" t="str">
        <f t="shared" si="14"/>
        <v>Department of Neurosurgery/NEUROSURG-Neurological Surgery</v>
      </c>
      <c r="F289" t="s">
        <v>74</v>
      </c>
      <c r="G289" s="2" t="s">
        <v>866</v>
      </c>
      <c r="H289" t="s">
        <v>15</v>
      </c>
      <c r="I289" t="s">
        <v>21</v>
      </c>
      <c r="J289" s="1">
        <v>46561</v>
      </c>
      <c r="K289">
        <v>4</v>
      </c>
      <c r="L289" t="s">
        <v>972</v>
      </c>
      <c r="M289" t="s">
        <v>983</v>
      </c>
      <c r="N289" t="s">
        <v>21</v>
      </c>
      <c r="O289">
        <v>2023</v>
      </c>
      <c r="P289" t="str">
        <f t="shared" si="15"/>
        <v>White</v>
      </c>
      <c r="Q289">
        <v>32.874409200000002</v>
      </c>
      <c r="R289">
        <v>-117.23611849678871</v>
      </c>
      <c r="S289" t="str">
        <f t="shared" si="13"/>
        <v/>
      </c>
    </row>
    <row r="290" spans="1:19">
      <c r="A290" t="s">
        <v>475</v>
      </c>
      <c r="B290" t="s">
        <v>476</v>
      </c>
      <c r="C290" t="s">
        <v>988</v>
      </c>
      <c r="D290" t="s">
        <v>887</v>
      </c>
      <c r="E290" t="str">
        <f t="shared" si="14"/>
        <v>Department of Medicine/MED-Internal Medicine</v>
      </c>
      <c r="F290" t="s">
        <v>29</v>
      </c>
      <c r="G290" s="2" t="s">
        <v>866</v>
      </c>
      <c r="H290" t="s">
        <v>15</v>
      </c>
      <c r="I290" t="s">
        <v>973</v>
      </c>
      <c r="J290" s="1">
        <v>45831</v>
      </c>
      <c r="K290">
        <v>2</v>
      </c>
      <c r="L290" t="s">
        <v>972</v>
      </c>
      <c r="M290" t="s">
        <v>981</v>
      </c>
      <c r="N290" t="s">
        <v>973</v>
      </c>
      <c r="O290">
        <v>2023</v>
      </c>
      <c r="P290" t="str">
        <f t="shared" si="15"/>
        <v>No response/undeclared</v>
      </c>
      <c r="Q290">
        <v>42.336831850000003</v>
      </c>
      <c r="R290">
        <v>-71.103809211180575</v>
      </c>
      <c r="S290" t="str">
        <f t="shared" si="13"/>
        <v/>
      </c>
    </row>
    <row r="291" spans="1:19">
      <c r="A291" t="s">
        <v>330</v>
      </c>
      <c r="B291" t="s">
        <v>125</v>
      </c>
      <c r="C291" t="s">
        <v>995</v>
      </c>
      <c r="D291" t="s">
        <v>918</v>
      </c>
      <c r="E291" t="str">
        <f t="shared" si="14"/>
        <v>Department of Neurosurgery/NEUROSURG-Neurological Surgery</v>
      </c>
      <c r="F291" t="s">
        <v>183</v>
      </c>
      <c r="G291" s="2" t="s">
        <v>866</v>
      </c>
      <c r="H291" t="s">
        <v>15</v>
      </c>
      <c r="I291" t="s">
        <v>21</v>
      </c>
      <c r="J291" s="1">
        <v>46934</v>
      </c>
      <c r="K291">
        <v>3</v>
      </c>
      <c r="L291" t="s">
        <v>972</v>
      </c>
      <c r="M291" t="s">
        <v>983</v>
      </c>
      <c r="N291" t="s">
        <v>21</v>
      </c>
      <c r="O291">
        <v>2023</v>
      </c>
      <c r="P291" t="str">
        <f t="shared" si="15"/>
        <v>White</v>
      </c>
      <c r="Q291">
        <v>32.874409200000002</v>
      </c>
      <c r="R291">
        <v>-117.23611849678871</v>
      </c>
      <c r="S291" t="str">
        <f t="shared" si="13"/>
        <v/>
      </c>
    </row>
    <row r="292" spans="1:19">
      <c r="A292" t="s">
        <v>560</v>
      </c>
      <c r="B292" t="s">
        <v>303</v>
      </c>
      <c r="C292" t="s">
        <v>988</v>
      </c>
      <c r="D292" t="s">
        <v>887</v>
      </c>
      <c r="E292" t="str">
        <f t="shared" si="14"/>
        <v>Department of Medicine/MED-Internal Medicine</v>
      </c>
      <c r="F292" t="s">
        <v>18</v>
      </c>
      <c r="G292" s="2" t="s">
        <v>866</v>
      </c>
      <c r="H292" t="s">
        <v>15</v>
      </c>
      <c r="I292" t="s">
        <v>21</v>
      </c>
      <c r="J292" s="1">
        <v>46196</v>
      </c>
      <c r="K292">
        <v>1</v>
      </c>
      <c r="L292" t="s">
        <v>972</v>
      </c>
      <c r="M292" t="s">
        <v>978</v>
      </c>
      <c r="N292" t="s">
        <v>21</v>
      </c>
      <c r="O292">
        <v>2023</v>
      </c>
      <c r="P292" t="str">
        <f t="shared" si="15"/>
        <v>White</v>
      </c>
      <c r="Q292">
        <v>33.793635299999998</v>
      </c>
      <c r="R292">
        <v>-84.322179556478247</v>
      </c>
      <c r="S292" t="str">
        <f t="shared" si="13"/>
        <v/>
      </c>
    </row>
    <row r="293" spans="1:19">
      <c r="A293" t="s">
        <v>624</v>
      </c>
      <c r="B293" t="s">
        <v>625</v>
      </c>
      <c r="C293" t="s">
        <v>1000</v>
      </c>
      <c r="D293" t="s">
        <v>916</v>
      </c>
      <c r="E293" t="str">
        <f t="shared" si="14"/>
        <v>Department of Imaging/IMG-Diagnostic Radiology</v>
      </c>
      <c r="F293" t="s">
        <v>29</v>
      </c>
      <c r="G293" s="2" t="s">
        <v>866</v>
      </c>
      <c r="H293" t="s">
        <v>15</v>
      </c>
      <c r="I293" t="s">
        <v>21</v>
      </c>
      <c r="J293" s="1">
        <v>46203</v>
      </c>
      <c r="K293">
        <v>3</v>
      </c>
      <c r="L293" t="s">
        <v>972</v>
      </c>
      <c r="M293" t="s">
        <v>984</v>
      </c>
      <c r="N293" t="s">
        <v>21</v>
      </c>
      <c r="O293">
        <v>2023</v>
      </c>
      <c r="P293" t="str">
        <f t="shared" si="15"/>
        <v>White</v>
      </c>
      <c r="Q293">
        <v>34.061138</v>
      </c>
      <c r="R293">
        <v>-118.2057365</v>
      </c>
      <c r="S293" t="str">
        <f t="shared" si="13"/>
        <v/>
      </c>
    </row>
    <row r="294" spans="1:19">
      <c r="A294" t="s">
        <v>536</v>
      </c>
      <c r="B294" t="s">
        <v>537</v>
      </c>
      <c r="C294" t="s">
        <v>988</v>
      </c>
      <c r="D294" t="s">
        <v>887</v>
      </c>
      <c r="E294" t="str">
        <f t="shared" si="14"/>
        <v>Department of Medicine/MED-Internal Medicine</v>
      </c>
      <c r="F294" t="s">
        <v>168</v>
      </c>
      <c r="G294" t="s">
        <v>969</v>
      </c>
      <c r="H294" t="s">
        <v>10</v>
      </c>
      <c r="I294" t="s">
        <v>11</v>
      </c>
      <c r="J294" s="1" t="s">
        <v>40</v>
      </c>
      <c r="K294" t="s">
        <v>40</v>
      </c>
      <c r="L294" t="s">
        <v>972</v>
      </c>
      <c r="M294" t="s">
        <v>981</v>
      </c>
      <c r="N294" t="s">
        <v>11</v>
      </c>
      <c r="O294">
        <v>2023</v>
      </c>
      <c r="P294" t="str">
        <f t="shared" si="15"/>
        <v>Asian</v>
      </c>
      <c r="Q294">
        <v>42.336831850000003</v>
      </c>
      <c r="R294">
        <v>-71.103809211180575</v>
      </c>
      <c r="S294" t="str">
        <f t="shared" si="13"/>
        <v/>
      </c>
    </row>
    <row r="295" spans="1:19">
      <c r="A295" t="s">
        <v>593</v>
      </c>
      <c r="B295" t="s">
        <v>594</v>
      </c>
      <c r="C295" t="s">
        <v>990</v>
      </c>
      <c r="D295" t="s">
        <v>886</v>
      </c>
      <c r="E295" t="str">
        <f t="shared" si="14"/>
        <v>Department of Anesthesia/ANES-Anesthesiology</v>
      </c>
      <c r="F295" t="s">
        <v>74</v>
      </c>
      <c r="G295" s="2" t="s">
        <v>866</v>
      </c>
      <c r="H295" t="s">
        <v>15</v>
      </c>
      <c r="I295" t="s">
        <v>11</v>
      </c>
      <c r="J295" s="1">
        <v>45473</v>
      </c>
      <c r="K295">
        <v>4</v>
      </c>
      <c r="L295" t="s">
        <v>972</v>
      </c>
      <c r="M295" t="s">
        <v>980</v>
      </c>
      <c r="N295" t="s">
        <v>11</v>
      </c>
      <c r="O295">
        <v>2023</v>
      </c>
      <c r="P295" t="str">
        <f t="shared" si="15"/>
        <v>Asian</v>
      </c>
      <c r="Q295">
        <v>34.064282899999988</v>
      </c>
      <c r="R295">
        <v>-118.44235620000001</v>
      </c>
      <c r="S295" t="str">
        <f t="shared" si="13"/>
        <v/>
      </c>
    </row>
    <row r="296" spans="1:19">
      <c r="A296" t="s">
        <v>679</v>
      </c>
      <c r="B296" t="s">
        <v>448</v>
      </c>
      <c r="C296" t="s">
        <v>990</v>
      </c>
      <c r="D296" t="s">
        <v>886</v>
      </c>
      <c r="E296" t="str">
        <f t="shared" si="14"/>
        <v>Department of Anesthesia/ANES-Anesthesiology</v>
      </c>
      <c r="F296" t="s">
        <v>183</v>
      </c>
      <c r="G296" s="2" t="s">
        <v>866</v>
      </c>
      <c r="H296" t="s">
        <v>15</v>
      </c>
      <c r="I296" t="s">
        <v>96</v>
      </c>
      <c r="J296" s="1">
        <v>45838</v>
      </c>
      <c r="K296">
        <v>3</v>
      </c>
      <c r="L296" t="s">
        <v>972</v>
      </c>
      <c r="M296" t="s">
        <v>980</v>
      </c>
      <c r="N296" t="s">
        <v>966</v>
      </c>
      <c r="O296">
        <v>2023</v>
      </c>
      <c r="P296" t="str">
        <f t="shared" si="15"/>
        <v>Black or African American</v>
      </c>
      <c r="Q296">
        <v>34.064282899999988</v>
      </c>
      <c r="R296">
        <v>-118.44235620000001</v>
      </c>
      <c r="S296">
        <f t="shared" si="13"/>
        <v>1</v>
      </c>
    </row>
    <row r="297" spans="1:19">
      <c r="A297" t="s">
        <v>429</v>
      </c>
      <c r="B297" t="s">
        <v>430</v>
      </c>
      <c r="C297" t="s">
        <v>988</v>
      </c>
      <c r="D297" t="s">
        <v>887</v>
      </c>
      <c r="E297" t="str">
        <f t="shared" si="14"/>
        <v>Department of Medicine/MED-Internal Medicine</v>
      </c>
      <c r="F297" t="s">
        <v>183</v>
      </c>
      <c r="G297" s="2" t="s">
        <v>866</v>
      </c>
      <c r="H297" t="s">
        <v>10</v>
      </c>
      <c r="I297" t="s">
        <v>21</v>
      </c>
      <c r="J297" s="1">
        <v>45466</v>
      </c>
      <c r="K297">
        <v>3</v>
      </c>
      <c r="L297" t="s">
        <v>972</v>
      </c>
      <c r="M297" t="s">
        <v>977</v>
      </c>
      <c r="N297" t="s">
        <v>21</v>
      </c>
      <c r="O297">
        <v>2023</v>
      </c>
      <c r="P297" t="str">
        <f t="shared" si="15"/>
        <v>White</v>
      </c>
      <c r="Q297">
        <v>39.745566599999997</v>
      </c>
      <c r="R297">
        <v>-104.8359873</v>
      </c>
      <c r="S297" t="str">
        <f t="shared" si="13"/>
        <v/>
      </c>
    </row>
    <row r="298" spans="1:19">
      <c r="A298" t="s">
        <v>228</v>
      </c>
      <c r="B298" t="s">
        <v>229</v>
      </c>
      <c r="C298" t="s">
        <v>989</v>
      </c>
      <c r="D298" t="s">
        <v>889</v>
      </c>
      <c r="E298" t="str">
        <f t="shared" si="14"/>
        <v>Department of Surgery/SURG-Surgery</v>
      </c>
      <c r="F298" t="s">
        <v>225</v>
      </c>
      <c r="G298" s="2" t="s">
        <v>866</v>
      </c>
      <c r="H298" t="s">
        <v>10</v>
      </c>
      <c r="I298" t="s">
        <v>11</v>
      </c>
      <c r="J298" s="1">
        <v>45466</v>
      </c>
      <c r="K298">
        <v>5</v>
      </c>
      <c r="L298" t="s">
        <v>972</v>
      </c>
      <c r="M298" t="s">
        <v>986</v>
      </c>
      <c r="N298" t="s">
        <v>11</v>
      </c>
      <c r="O298">
        <v>2023</v>
      </c>
      <c r="P298" t="str">
        <f t="shared" si="15"/>
        <v>Asian</v>
      </c>
      <c r="Q298">
        <v>36.005368400000002</v>
      </c>
      <c r="R298">
        <v>-78.938201699999993</v>
      </c>
      <c r="S298" t="str">
        <f t="shared" si="13"/>
        <v/>
      </c>
    </row>
    <row r="299" spans="1:19">
      <c r="A299" t="s">
        <v>338</v>
      </c>
      <c r="B299" t="s">
        <v>339</v>
      </c>
      <c r="C299" t="s">
        <v>996</v>
      </c>
      <c r="D299" t="s">
        <v>960</v>
      </c>
      <c r="E299" t="str">
        <f t="shared" si="14"/>
        <v>Department of Obstetrics &amp; Gynecology/OB/GYN-Obstetrics &amp; Gynecology</v>
      </c>
      <c r="F299" t="s">
        <v>183</v>
      </c>
      <c r="G299" s="2" t="s">
        <v>866</v>
      </c>
      <c r="H299" t="s">
        <v>10</v>
      </c>
      <c r="I299" t="s">
        <v>21</v>
      </c>
      <c r="J299" s="1">
        <v>45831</v>
      </c>
      <c r="K299">
        <v>3</v>
      </c>
      <c r="L299" t="s">
        <v>972</v>
      </c>
      <c r="M299" t="s">
        <v>983</v>
      </c>
      <c r="N299" t="s">
        <v>21</v>
      </c>
      <c r="O299">
        <v>2023</v>
      </c>
      <c r="P299" t="str">
        <f t="shared" si="15"/>
        <v>White</v>
      </c>
      <c r="Q299">
        <v>32.874409200000002</v>
      </c>
      <c r="R299">
        <v>-117.23611849678871</v>
      </c>
      <c r="S299" t="str">
        <f t="shared" si="13"/>
        <v/>
      </c>
    </row>
    <row r="300" spans="1:19">
      <c r="A300" t="s">
        <v>444</v>
      </c>
      <c r="B300" t="s">
        <v>445</v>
      </c>
      <c r="C300" t="s">
        <v>988</v>
      </c>
      <c r="D300" t="s">
        <v>887</v>
      </c>
      <c r="E300" t="str">
        <f t="shared" si="14"/>
        <v>Department of Medicine/MED-Internal Medicine</v>
      </c>
      <c r="F300" t="s">
        <v>29</v>
      </c>
      <c r="G300" s="2" t="s">
        <v>866</v>
      </c>
      <c r="H300" t="s">
        <v>15</v>
      </c>
      <c r="I300" t="s">
        <v>21</v>
      </c>
      <c r="J300" s="1">
        <v>45831</v>
      </c>
      <c r="K300">
        <v>2</v>
      </c>
      <c r="L300" t="s">
        <v>972</v>
      </c>
      <c r="M300" t="s">
        <v>978</v>
      </c>
      <c r="N300" t="s">
        <v>21</v>
      </c>
      <c r="O300">
        <v>2023</v>
      </c>
      <c r="P300" t="str">
        <f t="shared" si="15"/>
        <v>White</v>
      </c>
      <c r="Q300">
        <v>33.793635299999998</v>
      </c>
      <c r="R300">
        <v>-84.322179556478247</v>
      </c>
      <c r="S300" t="str">
        <f t="shared" si="13"/>
        <v/>
      </c>
    </row>
    <row r="301" spans="1:19">
      <c r="A301" t="s">
        <v>356</v>
      </c>
      <c r="B301" t="s">
        <v>698</v>
      </c>
      <c r="C301" t="s">
        <v>990</v>
      </c>
      <c r="D301" t="s">
        <v>886</v>
      </c>
      <c r="E301" t="str">
        <f t="shared" si="14"/>
        <v>Department of Anesthesia/ANES-Anesthesiology</v>
      </c>
      <c r="F301" t="s">
        <v>183</v>
      </c>
      <c r="G301" s="2" t="s">
        <v>866</v>
      </c>
      <c r="H301" t="s">
        <v>15</v>
      </c>
      <c r="I301" t="s">
        <v>21</v>
      </c>
      <c r="J301" s="1">
        <v>45838</v>
      </c>
      <c r="K301">
        <v>3</v>
      </c>
      <c r="L301" t="s">
        <v>972</v>
      </c>
      <c r="M301" t="s">
        <v>986</v>
      </c>
      <c r="N301" t="s">
        <v>21</v>
      </c>
      <c r="O301">
        <v>2023</v>
      </c>
      <c r="P301" t="str">
        <f t="shared" si="15"/>
        <v>White</v>
      </c>
      <c r="Q301">
        <v>36.005368400000002</v>
      </c>
      <c r="R301">
        <v>-78.938201699999993</v>
      </c>
      <c r="S301" t="str">
        <f t="shared" si="13"/>
        <v/>
      </c>
    </row>
    <row r="302" spans="1:19">
      <c r="A302" t="s">
        <v>356</v>
      </c>
      <c r="B302" t="s">
        <v>357</v>
      </c>
      <c r="C302" t="s">
        <v>994</v>
      </c>
      <c r="D302" t="s">
        <v>919</v>
      </c>
      <c r="E302" t="str">
        <f t="shared" si="14"/>
        <v>Department of Pathology/PATH-Pathology</v>
      </c>
      <c r="F302" t="s">
        <v>183</v>
      </c>
      <c r="G302" s="2" t="s">
        <v>866</v>
      </c>
      <c r="H302" t="s">
        <v>10</v>
      </c>
      <c r="I302" t="s">
        <v>21</v>
      </c>
      <c r="J302" s="1">
        <v>45831</v>
      </c>
      <c r="K302">
        <v>3</v>
      </c>
      <c r="L302" t="s">
        <v>972</v>
      </c>
      <c r="M302" t="s">
        <v>965</v>
      </c>
      <c r="N302" t="s">
        <v>21</v>
      </c>
      <c r="O302">
        <v>2023</v>
      </c>
      <c r="P302" t="str">
        <f t="shared" si="15"/>
        <v>White</v>
      </c>
      <c r="Q302">
        <v>40.347099999999998</v>
      </c>
      <c r="R302">
        <v>-74.661600000000007</v>
      </c>
      <c r="S302" t="str">
        <f t="shared" si="13"/>
        <v/>
      </c>
    </row>
    <row r="303" spans="1:19">
      <c r="A303" t="s">
        <v>351</v>
      </c>
      <c r="B303" t="s">
        <v>352</v>
      </c>
      <c r="C303" t="s">
        <v>994</v>
      </c>
      <c r="D303" t="s">
        <v>919</v>
      </c>
      <c r="E303" t="str">
        <f t="shared" si="14"/>
        <v>Department of Pathology/PATH-Pathology</v>
      </c>
      <c r="F303" t="s">
        <v>183</v>
      </c>
      <c r="G303" s="2" t="s">
        <v>866</v>
      </c>
      <c r="H303" t="s">
        <v>10</v>
      </c>
      <c r="I303" t="s">
        <v>21</v>
      </c>
      <c r="J303" s="1">
        <v>45831</v>
      </c>
      <c r="K303">
        <v>3</v>
      </c>
      <c r="L303" t="s">
        <v>972</v>
      </c>
      <c r="M303" t="s">
        <v>986</v>
      </c>
      <c r="N303" t="s">
        <v>21</v>
      </c>
      <c r="O303">
        <v>2023</v>
      </c>
      <c r="P303" t="str">
        <f t="shared" si="15"/>
        <v>White</v>
      </c>
      <c r="Q303">
        <v>36.005368400000002</v>
      </c>
      <c r="R303">
        <v>-78.938201699999993</v>
      </c>
      <c r="S303" t="str">
        <f t="shared" si="13"/>
        <v/>
      </c>
    </row>
    <row r="304" spans="1:19">
      <c r="A304" t="s">
        <v>311</v>
      </c>
      <c r="B304" t="s">
        <v>312</v>
      </c>
      <c r="C304" t="s">
        <v>994</v>
      </c>
      <c r="D304" t="s">
        <v>919</v>
      </c>
      <c r="E304" t="str">
        <f t="shared" si="14"/>
        <v>Department of Pathology/PATH-Pathology</v>
      </c>
      <c r="F304" t="s">
        <v>18</v>
      </c>
      <c r="G304" s="2" t="s">
        <v>866</v>
      </c>
      <c r="H304" t="s">
        <v>10</v>
      </c>
      <c r="I304" t="s">
        <v>11</v>
      </c>
      <c r="J304" s="1">
        <v>46561</v>
      </c>
      <c r="K304">
        <v>1</v>
      </c>
      <c r="L304" t="s">
        <v>972</v>
      </c>
      <c r="M304" t="s">
        <v>986</v>
      </c>
      <c r="N304" t="s">
        <v>11</v>
      </c>
      <c r="O304">
        <v>2023</v>
      </c>
      <c r="P304" t="str">
        <f t="shared" si="15"/>
        <v>Asian</v>
      </c>
      <c r="Q304">
        <v>36.005368400000002</v>
      </c>
      <c r="R304">
        <v>-78.938201699999993</v>
      </c>
      <c r="S304" t="str">
        <f t="shared" si="13"/>
        <v/>
      </c>
    </row>
    <row r="305" spans="1:19">
      <c r="A305" t="s">
        <v>43</v>
      </c>
      <c r="B305" t="s">
        <v>44</v>
      </c>
      <c r="C305" t="s">
        <v>997</v>
      </c>
      <c r="D305" t="s">
        <v>944</v>
      </c>
      <c r="E305" t="str">
        <f t="shared" si="14"/>
        <v>Department of Orthopedic Surgery/ORTHO-Spinal Disorders</v>
      </c>
      <c r="F305" t="s">
        <v>9</v>
      </c>
      <c r="G305" t="s">
        <v>969</v>
      </c>
      <c r="H305" t="s">
        <v>15</v>
      </c>
      <c r="I305" t="s">
        <v>21</v>
      </c>
      <c r="J305" s="1">
        <v>45504</v>
      </c>
      <c r="K305">
        <v>6</v>
      </c>
      <c r="L305" t="s">
        <v>972</v>
      </c>
      <c r="M305" t="s">
        <v>986</v>
      </c>
      <c r="N305" t="s">
        <v>21</v>
      </c>
      <c r="O305">
        <v>2023</v>
      </c>
      <c r="P305" t="str">
        <f t="shared" si="15"/>
        <v>White</v>
      </c>
      <c r="Q305">
        <v>36.005368400000002</v>
      </c>
      <c r="R305">
        <v>-78.938201699999993</v>
      </c>
      <c r="S305" t="str">
        <f t="shared" si="13"/>
        <v/>
      </c>
    </row>
    <row r="306" spans="1:19">
      <c r="A306" t="s">
        <v>425</v>
      </c>
      <c r="B306" t="s">
        <v>426</v>
      </c>
      <c r="C306" t="s">
        <v>994</v>
      </c>
      <c r="D306" t="s">
        <v>919</v>
      </c>
      <c r="E306" t="str">
        <f t="shared" si="14"/>
        <v>Department of Pathology/PATH-Pathology</v>
      </c>
      <c r="F306" t="s">
        <v>29</v>
      </c>
      <c r="G306" s="2" t="s">
        <v>866</v>
      </c>
      <c r="H306" t="s">
        <v>15</v>
      </c>
      <c r="I306" t="s">
        <v>21</v>
      </c>
      <c r="J306" s="1">
        <v>46196</v>
      </c>
      <c r="K306">
        <v>2</v>
      </c>
      <c r="L306" t="s">
        <v>972</v>
      </c>
      <c r="M306" t="s">
        <v>986</v>
      </c>
      <c r="N306" t="s">
        <v>21</v>
      </c>
      <c r="O306">
        <v>2023</v>
      </c>
      <c r="P306" t="str">
        <f t="shared" si="15"/>
        <v>White</v>
      </c>
      <c r="Q306">
        <v>36.005368400000002</v>
      </c>
      <c r="R306">
        <v>-78.938201699999993</v>
      </c>
      <c r="S306" t="str">
        <f t="shared" si="13"/>
        <v/>
      </c>
    </row>
    <row r="307" spans="1:19">
      <c r="A307" t="s">
        <v>575</v>
      </c>
      <c r="B307" t="s">
        <v>576</v>
      </c>
      <c r="C307" t="s">
        <v>990</v>
      </c>
      <c r="D307" t="s">
        <v>896</v>
      </c>
      <c r="E307" t="str">
        <f t="shared" si="14"/>
        <v>Department of Anesthesia/ANES-Critical Care Medicine</v>
      </c>
      <c r="F307" t="s">
        <v>9</v>
      </c>
      <c r="G307" s="2" t="s">
        <v>865</v>
      </c>
      <c r="H307" t="s">
        <v>10</v>
      </c>
      <c r="I307" t="s">
        <v>11</v>
      </c>
      <c r="J307" s="1">
        <v>45504</v>
      </c>
      <c r="K307">
        <v>5</v>
      </c>
      <c r="L307" t="s">
        <v>972</v>
      </c>
      <c r="M307" t="s">
        <v>965</v>
      </c>
      <c r="N307" t="s">
        <v>11</v>
      </c>
      <c r="O307">
        <v>2023</v>
      </c>
      <c r="P307" t="str">
        <f t="shared" si="15"/>
        <v>Asian</v>
      </c>
      <c r="Q307">
        <v>40.347099999999998</v>
      </c>
      <c r="R307">
        <v>-74.661600000000007</v>
      </c>
      <c r="S307" t="str">
        <f t="shared" si="13"/>
        <v/>
      </c>
    </row>
    <row r="308" spans="1:19">
      <c r="A308" t="s">
        <v>558</v>
      </c>
      <c r="B308" t="s">
        <v>559</v>
      </c>
      <c r="C308" t="s">
        <v>988</v>
      </c>
      <c r="D308" t="s">
        <v>887</v>
      </c>
      <c r="E308" t="str">
        <f t="shared" si="14"/>
        <v>Department of Medicine/MED-Internal Medicine</v>
      </c>
      <c r="F308" t="s">
        <v>18</v>
      </c>
      <c r="G308" s="2" t="s">
        <v>866</v>
      </c>
      <c r="H308" t="s">
        <v>10</v>
      </c>
      <c r="I308" t="s">
        <v>11</v>
      </c>
      <c r="J308" s="1">
        <v>46196</v>
      </c>
      <c r="K308">
        <v>1</v>
      </c>
      <c r="L308" t="s">
        <v>972</v>
      </c>
      <c r="M308" t="s">
        <v>981</v>
      </c>
      <c r="N308" t="s">
        <v>11</v>
      </c>
      <c r="O308">
        <v>2023</v>
      </c>
      <c r="P308" t="str">
        <f t="shared" si="15"/>
        <v>Asian</v>
      </c>
      <c r="Q308">
        <v>42.336831850000003</v>
      </c>
      <c r="R308">
        <v>-71.103809211180575</v>
      </c>
      <c r="S308" t="str">
        <f t="shared" si="13"/>
        <v/>
      </c>
    </row>
    <row r="309" spans="1:19">
      <c r="A309" t="s">
        <v>703</v>
      </c>
      <c r="B309" t="s">
        <v>704</v>
      </c>
      <c r="C309" t="s">
        <v>997</v>
      </c>
      <c r="D309" t="s">
        <v>888</v>
      </c>
      <c r="E309" t="str">
        <f t="shared" si="14"/>
        <v>Department of Orthopedic Surgery/ORTHO-Orthopaedic Surgery</v>
      </c>
      <c r="F309" t="s">
        <v>183</v>
      </c>
      <c r="G309" s="2" t="s">
        <v>866</v>
      </c>
      <c r="H309" t="s">
        <v>15</v>
      </c>
      <c r="I309" t="s">
        <v>21</v>
      </c>
      <c r="J309" s="1">
        <v>46203</v>
      </c>
      <c r="K309">
        <v>3</v>
      </c>
      <c r="L309" t="s">
        <v>972</v>
      </c>
      <c r="M309" t="s">
        <v>986</v>
      </c>
      <c r="N309" t="s">
        <v>21</v>
      </c>
      <c r="O309">
        <v>2023</v>
      </c>
      <c r="P309" t="str">
        <f t="shared" si="15"/>
        <v>White</v>
      </c>
      <c r="Q309">
        <v>36.005368400000002</v>
      </c>
      <c r="R309">
        <v>-78.938201699999993</v>
      </c>
      <c r="S309" t="str">
        <f t="shared" si="13"/>
        <v/>
      </c>
    </row>
    <row r="310" spans="1:19">
      <c r="A310" t="s">
        <v>307</v>
      </c>
      <c r="B310" t="s">
        <v>308</v>
      </c>
      <c r="C310" t="s">
        <v>992</v>
      </c>
      <c r="D310" t="s">
        <v>915</v>
      </c>
      <c r="E310" t="str">
        <f t="shared" si="14"/>
        <v>Department of Cardiac Surgery/CARDSURG-Thoracic Surgery-Integrated</v>
      </c>
      <c r="F310" t="s">
        <v>183</v>
      </c>
      <c r="G310" s="2" t="s">
        <v>866</v>
      </c>
      <c r="H310" t="s">
        <v>10</v>
      </c>
      <c r="I310" t="s">
        <v>11</v>
      </c>
      <c r="J310" s="1">
        <v>46561</v>
      </c>
      <c r="K310">
        <v>3</v>
      </c>
      <c r="L310" t="s">
        <v>972</v>
      </c>
      <c r="M310" t="s">
        <v>982</v>
      </c>
      <c r="N310" t="s">
        <v>11</v>
      </c>
      <c r="O310">
        <v>2023</v>
      </c>
      <c r="P310" t="str">
        <f t="shared" si="15"/>
        <v>Asian</v>
      </c>
      <c r="Q310">
        <v>40.841542800000013</v>
      </c>
      <c r="R310">
        <v>-73.94139229999999</v>
      </c>
      <c r="S310" t="str">
        <f t="shared" si="13"/>
        <v/>
      </c>
    </row>
    <row r="311" spans="1:19">
      <c r="A311" t="s">
        <v>826</v>
      </c>
      <c r="B311" t="s">
        <v>827</v>
      </c>
      <c r="C311" t="s">
        <v>993</v>
      </c>
      <c r="D311" t="s">
        <v>906</v>
      </c>
      <c r="E311" t="str">
        <f t="shared" si="14"/>
        <v>Department of Neurology/NEURO-Neurologic Critical Care</v>
      </c>
      <c r="F311" t="s">
        <v>9</v>
      </c>
      <c r="G311" s="2" t="s">
        <v>865</v>
      </c>
      <c r="H311" t="s">
        <v>10</v>
      </c>
      <c r="I311" t="s">
        <v>11</v>
      </c>
      <c r="J311" s="1">
        <v>45838</v>
      </c>
      <c r="K311">
        <v>5</v>
      </c>
      <c r="L311" t="s">
        <v>972</v>
      </c>
      <c r="M311" t="s">
        <v>978</v>
      </c>
      <c r="N311" t="s">
        <v>11</v>
      </c>
      <c r="O311">
        <v>2023</v>
      </c>
      <c r="P311" t="str">
        <f t="shared" si="15"/>
        <v>Asian</v>
      </c>
      <c r="Q311">
        <v>33.793635299999998</v>
      </c>
      <c r="R311">
        <v>-84.322179556478247</v>
      </c>
      <c r="S311" t="str">
        <f t="shared" si="13"/>
        <v/>
      </c>
    </row>
    <row r="312" spans="1:19">
      <c r="A312" t="s">
        <v>7</v>
      </c>
      <c r="B312" t="s">
        <v>8</v>
      </c>
      <c r="C312" t="s">
        <v>988</v>
      </c>
      <c r="D312" t="s">
        <v>956</v>
      </c>
      <c r="E312" t="str">
        <f t="shared" si="14"/>
        <v>Department of Medicine/MED-Pulmonary/Critical Care Medicine</v>
      </c>
      <c r="F312" t="s">
        <v>9</v>
      </c>
      <c r="G312" s="2" t="s">
        <v>865</v>
      </c>
      <c r="H312" t="s">
        <v>10</v>
      </c>
      <c r="I312" t="s">
        <v>11</v>
      </c>
      <c r="J312" s="1">
        <v>46203</v>
      </c>
      <c r="K312">
        <v>4</v>
      </c>
      <c r="L312" t="s">
        <v>972</v>
      </c>
      <c r="M312" t="s">
        <v>978</v>
      </c>
      <c r="N312" t="s">
        <v>11</v>
      </c>
      <c r="O312">
        <v>2023</v>
      </c>
      <c r="P312" t="str">
        <f t="shared" si="15"/>
        <v>Asian</v>
      </c>
      <c r="Q312">
        <v>33.793635299999998</v>
      </c>
      <c r="R312">
        <v>-84.322179556478247</v>
      </c>
      <c r="S312" t="str">
        <f t="shared" si="13"/>
        <v/>
      </c>
    </row>
    <row r="313" spans="1:19">
      <c r="A313" t="s">
        <v>859</v>
      </c>
      <c r="B313" t="s">
        <v>860</v>
      </c>
      <c r="C313" t="s">
        <v>999</v>
      </c>
      <c r="D313" t="s">
        <v>890</v>
      </c>
      <c r="E313" t="str">
        <f t="shared" si="14"/>
        <v>Department of Urology/URO-Urology</v>
      </c>
      <c r="F313" t="s">
        <v>225</v>
      </c>
      <c r="G313" s="2" t="s">
        <v>866</v>
      </c>
      <c r="H313" t="s">
        <v>15</v>
      </c>
      <c r="I313" t="s">
        <v>21</v>
      </c>
      <c r="J313" s="1">
        <v>45473</v>
      </c>
      <c r="K313">
        <v>5</v>
      </c>
      <c r="L313" t="s">
        <v>972</v>
      </c>
      <c r="M313" t="s">
        <v>979</v>
      </c>
      <c r="N313" t="s">
        <v>21</v>
      </c>
      <c r="O313">
        <v>2023</v>
      </c>
      <c r="P313" t="str">
        <f t="shared" si="15"/>
        <v>White</v>
      </c>
      <c r="Q313">
        <v>40.443128700000003</v>
      </c>
      <c r="R313">
        <v>-79.961324099999999</v>
      </c>
      <c r="S313" t="str">
        <f t="shared" si="13"/>
        <v/>
      </c>
    </row>
    <row r="314" spans="1:19">
      <c r="A314" t="s">
        <v>812</v>
      </c>
      <c r="B314" t="s">
        <v>691</v>
      </c>
      <c r="C314" t="s">
        <v>988</v>
      </c>
      <c r="D314" t="s">
        <v>942</v>
      </c>
      <c r="E314" t="str">
        <f t="shared" si="14"/>
        <v>Department of Medicine/MED-GI Motility</v>
      </c>
      <c r="F314" t="s">
        <v>9</v>
      </c>
      <c r="G314" t="s">
        <v>969</v>
      </c>
      <c r="H314" t="s">
        <v>15</v>
      </c>
      <c r="I314" t="s">
        <v>80</v>
      </c>
      <c r="J314" s="1">
        <v>45473</v>
      </c>
      <c r="K314">
        <v>4</v>
      </c>
      <c r="L314" t="s">
        <v>972</v>
      </c>
      <c r="M314" t="s">
        <v>984</v>
      </c>
      <c r="N314" t="s">
        <v>80</v>
      </c>
      <c r="O314">
        <v>2023</v>
      </c>
      <c r="P314" t="str">
        <f t="shared" si="15"/>
        <v>Other</v>
      </c>
      <c r="Q314">
        <v>34.061138</v>
      </c>
      <c r="R314">
        <v>-118.2057365</v>
      </c>
      <c r="S314" t="str">
        <f t="shared" si="13"/>
        <v/>
      </c>
    </row>
    <row r="315" spans="1:19">
      <c r="A315" t="s">
        <v>325</v>
      </c>
      <c r="B315" t="s">
        <v>326</v>
      </c>
      <c r="C315" t="s">
        <v>998</v>
      </c>
      <c r="D315" t="s">
        <v>895</v>
      </c>
      <c r="E315" t="str">
        <f t="shared" si="14"/>
        <v>Department of Radiation Oncology/RAD-Radiation Oncology</v>
      </c>
      <c r="F315" t="s">
        <v>29</v>
      </c>
      <c r="G315" s="2" t="s">
        <v>866</v>
      </c>
      <c r="H315" t="s">
        <v>15</v>
      </c>
      <c r="I315" t="s">
        <v>21</v>
      </c>
      <c r="J315" s="1">
        <v>46203</v>
      </c>
      <c r="K315">
        <v>2</v>
      </c>
      <c r="L315" t="s">
        <v>972</v>
      </c>
      <c r="M315" t="s">
        <v>986</v>
      </c>
      <c r="N315" t="s">
        <v>21</v>
      </c>
      <c r="O315">
        <v>2023</v>
      </c>
      <c r="P315" t="str">
        <f t="shared" si="15"/>
        <v>White</v>
      </c>
      <c r="Q315">
        <v>36.005368400000002</v>
      </c>
      <c r="R315">
        <v>-78.938201699999993</v>
      </c>
      <c r="S315" t="str">
        <f t="shared" si="13"/>
        <v/>
      </c>
    </row>
    <row r="316" spans="1:19">
      <c r="A316" t="s">
        <v>273</v>
      </c>
      <c r="B316" t="s">
        <v>147</v>
      </c>
      <c r="C316" t="s">
        <v>989</v>
      </c>
      <c r="D316" t="s">
        <v>889</v>
      </c>
      <c r="E316" t="str">
        <f t="shared" si="14"/>
        <v>Department of Surgery/SURG-Surgery</v>
      </c>
      <c r="F316" t="s">
        <v>24</v>
      </c>
      <c r="G316" t="s">
        <v>969</v>
      </c>
      <c r="H316" t="s">
        <v>15</v>
      </c>
      <c r="I316" t="s">
        <v>973</v>
      </c>
      <c r="J316" s="1">
        <v>46561</v>
      </c>
      <c r="K316">
        <v>2</v>
      </c>
      <c r="L316" t="s">
        <v>972</v>
      </c>
      <c r="M316" t="s">
        <v>986</v>
      </c>
      <c r="N316" t="s">
        <v>973</v>
      </c>
      <c r="O316">
        <v>2023</v>
      </c>
      <c r="P316" t="str">
        <f t="shared" si="15"/>
        <v>No response/undeclared</v>
      </c>
      <c r="Q316">
        <v>36.005368400000002</v>
      </c>
      <c r="R316">
        <v>-78.938201699999993</v>
      </c>
      <c r="S316" t="str">
        <f t="shared" si="13"/>
        <v/>
      </c>
    </row>
    <row r="317" spans="1:19">
      <c r="A317" t="s">
        <v>117</v>
      </c>
      <c r="B317" t="s">
        <v>118</v>
      </c>
      <c r="C317" t="s">
        <v>988</v>
      </c>
      <c r="D317" t="s">
        <v>932</v>
      </c>
      <c r="E317" t="str">
        <f t="shared" si="14"/>
        <v>Department of Medicine/MED-Hospice &amp; Palliative Care Medicine</v>
      </c>
      <c r="F317" t="s">
        <v>9</v>
      </c>
      <c r="G317" s="2" t="s">
        <v>865</v>
      </c>
      <c r="H317" t="s">
        <v>15</v>
      </c>
      <c r="I317" t="s">
        <v>21</v>
      </c>
      <c r="J317" s="1">
        <v>45473</v>
      </c>
      <c r="K317">
        <v>4</v>
      </c>
      <c r="L317" t="s">
        <v>972</v>
      </c>
      <c r="M317" t="s">
        <v>981</v>
      </c>
      <c r="N317" t="s">
        <v>21</v>
      </c>
      <c r="O317">
        <v>2023</v>
      </c>
      <c r="P317" t="str">
        <f t="shared" si="15"/>
        <v>White</v>
      </c>
      <c r="Q317">
        <v>42.336831850000003</v>
      </c>
      <c r="R317">
        <v>-71.103809211180575</v>
      </c>
      <c r="S317" t="str">
        <f t="shared" si="13"/>
        <v/>
      </c>
    </row>
    <row r="318" spans="1:19">
      <c r="A318" t="s">
        <v>660</v>
      </c>
      <c r="B318" t="s">
        <v>227</v>
      </c>
      <c r="C318" t="s">
        <v>997</v>
      </c>
      <c r="D318" t="s">
        <v>888</v>
      </c>
      <c r="E318" t="str">
        <f t="shared" si="14"/>
        <v>Department of Orthopedic Surgery/ORTHO-Orthopaedic Surgery</v>
      </c>
      <c r="F318" t="s">
        <v>225</v>
      </c>
      <c r="G318" s="2" t="s">
        <v>866</v>
      </c>
      <c r="H318" t="s">
        <v>15</v>
      </c>
      <c r="I318" t="s">
        <v>21</v>
      </c>
      <c r="J318" s="1">
        <v>45473</v>
      </c>
      <c r="K318">
        <v>5</v>
      </c>
      <c r="L318" t="s">
        <v>972</v>
      </c>
      <c r="M318" t="s">
        <v>986</v>
      </c>
      <c r="N318" t="s">
        <v>21</v>
      </c>
      <c r="O318">
        <v>2023</v>
      </c>
      <c r="P318" t="str">
        <f t="shared" si="15"/>
        <v>White</v>
      </c>
      <c r="Q318">
        <v>36.005368400000002</v>
      </c>
      <c r="R318">
        <v>-78.938201699999993</v>
      </c>
      <c r="S318" t="str">
        <f t="shared" si="13"/>
        <v/>
      </c>
    </row>
    <row r="319" spans="1:19">
      <c r="A319" t="s">
        <v>256</v>
      </c>
      <c r="B319" t="s">
        <v>257</v>
      </c>
      <c r="C319" t="s">
        <v>996</v>
      </c>
      <c r="D319" t="s">
        <v>960</v>
      </c>
      <c r="E319" t="str">
        <f t="shared" si="14"/>
        <v>Department of Obstetrics &amp; Gynecology/OB/GYN-Obstetrics &amp; Gynecology</v>
      </c>
      <c r="F319" t="s">
        <v>74</v>
      </c>
      <c r="G319" s="2" t="s">
        <v>866</v>
      </c>
      <c r="H319" t="s">
        <v>10</v>
      </c>
      <c r="I319" t="s">
        <v>163</v>
      </c>
      <c r="J319" s="1">
        <v>45466</v>
      </c>
      <c r="K319">
        <v>4</v>
      </c>
      <c r="L319" t="s">
        <v>972</v>
      </c>
      <c r="M319" t="s">
        <v>983</v>
      </c>
      <c r="N319" t="s">
        <v>11</v>
      </c>
      <c r="O319">
        <v>2023</v>
      </c>
      <c r="P319" t="s">
        <v>11</v>
      </c>
      <c r="Q319">
        <v>32.874409200000002</v>
      </c>
      <c r="R319">
        <v>-117.23611849678871</v>
      </c>
      <c r="S319" t="str">
        <f t="shared" si="13"/>
        <v/>
      </c>
    </row>
    <row r="320" spans="1:19">
      <c r="A320" t="s">
        <v>838</v>
      </c>
      <c r="B320" t="s">
        <v>838</v>
      </c>
      <c r="C320" t="s">
        <v>991</v>
      </c>
      <c r="D320" t="s">
        <v>910</v>
      </c>
      <c r="E320" t="str">
        <f t="shared" si="14"/>
        <v>Department of Cardiology/CARD-Complex Interventional Cardiology</v>
      </c>
      <c r="F320" t="s">
        <v>9</v>
      </c>
      <c r="G320" t="s">
        <v>969</v>
      </c>
      <c r="H320" t="s">
        <v>10</v>
      </c>
      <c r="I320" t="s">
        <v>11</v>
      </c>
      <c r="J320" s="1">
        <v>45487</v>
      </c>
      <c r="K320">
        <v>7</v>
      </c>
      <c r="L320" t="s">
        <v>972</v>
      </c>
      <c r="M320" t="s">
        <v>982</v>
      </c>
      <c r="N320" t="s">
        <v>11</v>
      </c>
      <c r="O320">
        <v>2023</v>
      </c>
      <c r="P320" t="str">
        <f t="shared" si="15"/>
        <v>Asian</v>
      </c>
      <c r="Q320">
        <v>40.841542800000013</v>
      </c>
      <c r="R320">
        <v>-73.94139229999999</v>
      </c>
      <c r="S320" t="str">
        <f t="shared" si="13"/>
        <v/>
      </c>
    </row>
    <row r="321" spans="1:19">
      <c r="A321" t="s">
        <v>323</v>
      </c>
      <c r="B321" t="s">
        <v>324</v>
      </c>
      <c r="C321" t="s">
        <v>995</v>
      </c>
      <c r="D321" t="s">
        <v>918</v>
      </c>
      <c r="E321" t="str">
        <f t="shared" si="14"/>
        <v>Department of Neurosurgery/NEUROSURG-Neurological Surgery</v>
      </c>
      <c r="F321" t="s">
        <v>225</v>
      </c>
      <c r="G321" s="2" t="s">
        <v>866</v>
      </c>
      <c r="H321" t="s">
        <v>15</v>
      </c>
      <c r="I321" t="s">
        <v>21</v>
      </c>
      <c r="J321" s="1">
        <v>46203</v>
      </c>
      <c r="K321">
        <v>5</v>
      </c>
      <c r="L321" t="s">
        <v>972</v>
      </c>
      <c r="M321" t="s">
        <v>983</v>
      </c>
      <c r="N321" t="s">
        <v>21</v>
      </c>
      <c r="O321">
        <v>2023</v>
      </c>
      <c r="P321" t="str">
        <f t="shared" si="15"/>
        <v>White</v>
      </c>
      <c r="Q321">
        <v>32.874409200000002</v>
      </c>
      <c r="R321">
        <v>-117.23611849678871</v>
      </c>
      <c r="S321" t="str">
        <f t="shared" si="13"/>
        <v/>
      </c>
    </row>
    <row r="322" spans="1:19">
      <c r="A322" t="s">
        <v>142</v>
      </c>
      <c r="B322" t="s">
        <v>143</v>
      </c>
      <c r="C322" t="s">
        <v>990</v>
      </c>
      <c r="D322" t="s">
        <v>920</v>
      </c>
      <c r="E322" t="str">
        <f t="shared" si="14"/>
        <v>Department of Anesthesia/ANES-Adult Cardiothoracic Anesthesiology</v>
      </c>
      <c r="F322" t="s">
        <v>9</v>
      </c>
      <c r="G322" s="2" t="s">
        <v>865</v>
      </c>
      <c r="H322" t="s">
        <v>15</v>
      </c>
      <c r="I322" t="s">
        <v>80</v>
      </c>
      <c r="J322" s="1">
        <v>45504</v>
      </c>
      <c r="K322">
        <v>5</v>
      </c>
      <c r="L322" t="s">
        <v>972</v>
      </c>
      <c r="M322" t="s">
        <v>985</v>
      </c>
      <c r="N322" t="s">
        <v>80</v>
      </c>
      <c r="O322">
        <v>2023</v>
      </c>
      <c r="P322" t="str">
        <f t="shared" si="15"/>
        <v>Other</v>
      </c>
      <c r="Q322">
        <v>37.4582762</v>
      </c>
      <c r="R322">
        <v>-122.1739822</v>
      </c>
      <c r="S322" t="str">
        <f t="shared" ref="S322:S385" si="16">IF(N322="URM",1,"")</f>
        <v/>
      </c>
    </row>
    <row r="323" spans="1:19">
      <c r="A323" t="s">
        <v>761</v>
      </c>
      <c r="B323" t="s">
        <v>762</v>
      </c>
      <c r="C323" t="s">
        <v>997</v>
      </c>
      <c r="D323" t="s">
        <v>888</v>
      </c>
      <c r="E323" t="str">
        <f t="shared" ref="E323:E386" si="17">C323&amp;"/"&amp;D323</f>
        <v>Department of Orthopedic Surgery/ORTHO-Orthopaedic Surgery</v>
      </c>
      <c r="F323" t="s">
        <v>29</v>
      </c>
      <c r="G323" s="2" t="s">
        <v>866</v>
      </c>
      <c r="H323" t="s">
        <v>15</v>
      </c>
      <c r="I323" t="s">
        <v>83</v>
      </c>
      <c r="J323" s="1">
        <v>46568</v>
      </c>
      <c r="K323">
        <v>2</v>
      </c>
      <c r="L323" t="s">
        <v>972</v>
      </c>
      <c r="M323" t="s">
        <v>983</v>
      </c>
      <c r="N323" t="s">
        <v>966</v>
      </c>
      <c r="O323">
        <v>2023</v>
      </c>
      <c r="P323" t="str">
        <f t="shared" ref="P323:P386" si="18">I323</f>
        <v>Hispanic or Latino</v>
      </c>
      <c r="Q323">
        <v>32.874409200000002</v>
      </c>
      <c r="R323">
        <v>-117.23611849678871</v>
      </c>
      <c r="S323">
        <f t="shared" si="16"/>
        <v>1</v>
      </c>
    </row>
    <row r="324" spans="1:19">
      <c r="A324" t="s">
        <v>340</v>
      </c>
      <c r="B324" t="s">
        <v>341</v>
      </c>
      <c r="C324" t="s">
        <v>996</v>
      </c>
      <c r="D324" t="s">
        <v>960</v>
      </c>
      <c r="E324" t="str">
        <f t="shared" si="17"/>
        <v>Department of Obstetrics &amp; Gynecology/OB/GYN-Obstetrics &amp; Gynecology</v>
      </c>
      <c r="F324" t="s">
        <v>183</v>
      </c>
      <c r="G324" s="2" t="s">
        <v>866</v>
      </c>
      <c r="H324" t="s">
        <v>15</v>
      </c>
      <c r="I324" t="s">
        <v>21</v>
      </c>
      <c r="J324" s="1">
        <v>45831</v>
      </c>
      <c r="K324">
        <v>3</v>
      </c>
      <c r="L324" t="s">
        <v>972</v>
      </c>
      <c r="M324" t="s">
        <v>983</v>
      </c>
      <c r="N324" t="s">
        <v>21</v>
      </c>
      <c r="O324">
        <v>2023</v>
      </c>
      <c r="P324" t="str">
        <f t="shared" si="18"/>
        <v>White</v>
      </c>
      <c r="Q324">
        <v>32.874409200000002</v>
      </c>
      <c r="R324">
        <v>-117.23611849678871</v>
      </c>
      <c r="S324" t="str">
        <f t="shared" si="16"/>
        <v/>
      </c>
    </row>
    <row r="325" spans="1:19">
      <c r="A325" t="s">
        <v>791</v>
      </c>
      <c r="B325" t="s">
        <v>792</v>
      </c>
      <c r="C325" t="s">
        <v>988</v>
      </c>
      <c r="D325" t="s">
        <v>956</v>
      </c>
      <c r="E325" t="str">
        <f t="shared" si="17"/>
        <v>Department of Medicine/MED-Pulmonary/Critical Care Medicine</v>
      </c>
      <c r="F325" t="s">
        <v>9</v>
      </c>
      <c r="G325" s="2" t="s">
        <v>865</v>
      </c>
      <c r="H325" t="s">
        <v>10</v>
      </c>
      <c r="I325" t="s">
        <v>96</v>
      </c>
      <c r="J325" s="1">
        <v>46203</v>
      </c>
      <c r="K325">
        <v>4</v>
      </c>
      <c r="L325" t="s">
        <v>972</v>
      </c>
      <c r="M325" t="s">
        <v>978</v>
      </c>
      <c r="N325" t="s">
        <v>966</v>
      </c>
      <c r="O325">
        <v>2023</v>
      </c>
      <c r="P325" t="str">
        <f t="shared" si="18"/>
        <v>Black or African American</v>
      </c>
      <c r="Q325">
        <v>33.793635299999998</v>
      </c>
      <c r="R325">
        <v>-84.322179556478247</v>
      </c>
      <c r="S325">
        <f t="shared" si="16"/>
        <v>1</v>
      </c>
    </row>
    <row r="326" spans="1:19">
      <c r="A326" t="s">
        <v>361</v>
      </c>
      <c r="B326" t="s">
        <v>362</v>
      </c>
      <c r="C326" t="s">
        <v>988</v>
      </c>
      <c r="D326" t="s">
        <v>887</v>
      </c>
      <c r="E326" t="str">
        <f t="shared" si="17"/>
        <v>Department of Medicine/MED-Internal Medicine</v>
      </c>
      <c r="F326" t="s">
        <v>183</v>
      </c>
      <c r="G326" s="2" t="s">
        <v>866</v>
      </c>
      <c r="H326" t="s">
        <v>10</v>
      </c>
      <c r="I326" t="s">
        <v>11</v>
      </c>
      <c r="J326" s="1">
        <v>45466</v>
      </c>
      <c r="K326">
        <v>3</v>
      </c>
      <c r="L326" t="s">
        <v>972</v>
      </c>
      <c r="M326" t="s">
        <v>981</v>
      </c>
      <c r="N326" t="s">
        <v>11</v>
      </c>
      <c r="O326">
        <v>2023</v>
      </c>
      <c r="P326" t="str">
        <f t="shared" si="18"/>
        <v>Asian</v>
      </c>
      <c r="Q326">
        <v>42.336831850000003</v>
      </c>
      <c r="R326">
        <v>-71.103809211180575</v>
      </c>
      <c r="S326" t="str">
        <f t="shared" si="16"/>
        <v/>
      </c>
    </row>
    <row r="327" spans="1:19">
      <c r="A327" t="s">
        <v>784</v>
      </c>
      <c r="B327" t="s">
        <v>785</v>
      </c>
      <c r="C327" t="s">
        <v>988</v>
      </c>
      <c r="D327" t="s">
        <v>956</v>
      </c>
      <c r="E327" t="str">
        <f t="shared" si="17"/>
        <v>Department of Medicine/MED-Pulmonary/Critical Care Medicine</v>
      </c>
      <c r="F327" t="s">
        <v>9</v>
      </c>
      <c r="G327" s="2" t="s">
        <v>865</v>
      </c>
      <c r="H327" t="s">
        <v>15</v>
      </c>
      <c r="I327" t="s">
        <v>21</v>
      </c>
      <c r="J327" s="1">
        <v>46203</v>
      </c>
      <c r="K327">
        <v>4</v>
      </c>
      <c r="L327" t="s">
        <v>972</v>
      </c>
      <c r="M327" t="s">
        <v>978</v>
      </c>
      <c r="N327" t="s">
        <v>21</v>
      </c>
      <c r="O327">
        <v>2023</v>
      </c>
      <c r="P327" t="str">
        <f t="shared" si="18"/>
        <v>White</v>
      </c>
      <c r="Q327">
        <v>33.793635299999998</v>
      </c>
      <c r="R327">
        <v>-84.322179556478247</v>
      </c>
      <c r="S327" t="str">
        <f t="shared" si="16"/>
        <v/>
      </c>
    </row>
    <row r="328" spans="1:19">
      <c r="A328" t="s">
        <v>412</v>
      </c>
      <c r="B328" t="s">
        <v>413</v>
      </c>
      <c r="C328" t="s">
        <v>996</v>
      </c>
      <c r="D328" t="s">
        <v>960</v>
      </c>
      <c r="E328" t="str">
        <f t="shared" si="17"/>
        <v>Department of Obstetrics &amp; Gynecology/OB/GYN-Obstetrics &amp; Gynecology</v>
      </c>
      <c r="F328" t="s">
        <v>29</v>
      </c>
      <c r="G328" s="2" t="s">
        <v>866</v>
      </c>
      <c r="H328" t="s">
        <v>10</v>
      </c>
      <c r="I328" t="s">
        <v>96</v>
      </c>
      <c r="J328" s="1">
        <v>46196</v>
      </c>
      <c r="K328">
        <v>2</v>
      </c>
      <c r="L328" t="s">
        <v>972</v>
      </c>
      <c r="M328" t="s">
        <v>983</v>
      </c>
      <c r="N328" t="s">
        <v>966</v>
      </c>
      <c r="O328">
        <v>2023</v>
      </c>
      <c r="P328" t="str">
        <f t="shared" si="18"/>
        <v>Black or African American</v>
      </c>
      <c r="Q328">
        <v>32.874409200000002</v>
      </c>
      <c r="R328">
        <v>-117.23611849678871</v>
      </c>
      <c r="S328">
        <f t="shared" si="16"/>
        <v>1</v>
      </c>
    </row>
    <row r="329" spans="1:19">
      <c r="A329" t="s">
        <v>358</v>
      </c>
      <c r="B329" t="s">
        <v>359</v>
      </c>
      <c r="C329" t="s">
        <v>994</v>
      </c>
      <c r="D329" t="s">
        <v>919</v>
      </c>
      <c r="E329" t="str">
        <f t="shared" si="17"/>
        <v>Department of Pathology/PATH-Pathology</v>
      </c>
      <c r="F329" t="s">
        <v>183</v>
      </c>
      <c r="G329" s="2" t="s">
        <v>866</v>
      </c>
      <c r="H329" t="s">
        <v>10</v>
      </c>
      <c r="I329" t="s">
        <v>21</v>
      </c>
      <c r="J329" s="1">
        <v>45831</v>
      </c>
      <c r="K329">
        <v>3</v>
      </c>
      <c r="L329" t="s">
        <v>972</v>
      </c>
      <c r="M329" t="s">
        <v>986</v>
      </c>
      <c r="N329" t="s">
        <v>21</v>
      </c>
      <c r="O329">
        <v>2023</v>
      </c>
      <c r="P329" t="str">
        <f t="shared" si="18"/>
        <v>White</v>
      </c>
      <c r="Q329">
        <v>36.005368400000002</v>
      </c>
      <c r="R329">
        <v>-78.938201699999993</v>
      </c>
      <c r="S329" t="str">
        <f t="shared" si="16"/>
        <v/>
      </c>
    </row>
    <row r="330" spans="1:19">
      <c r="A330" t="s">
        <v>793</v>
      </c>
      <c r="B330" t="s">
        <v>794</v>
      </c>
      <c r="C330" t="s">
        <v>997</v>
      </c>
      <c r="D330" t="s">
        <v>888</v>
      </c>
      <c r="E330" t="str">
        <f t="shared" si="17"/>
        <v>Department of Orthopedic Surgery/ORTHO-Orthopaedic Surgery</v>
      </c>
      <c r="F330" t="s">
        <v>18</v>
      </c>
      <c r="G330" s="2" t="s">
        <v>866</v>
      </c>
      <c r="H330" t="s">
        <v>15</v>
      </c>
      <c r="I330" t="s">
        <v>96</v>
      </c>
      <c r="J330" s="1">
        <v>46934</v>
      </c>
      <c r="K330">
        <v>1</v>
      </c>
      <c r="L330" t="s">
        <v>972</v>
      </c>
      <c r="M330" t="s">
        <v>983</v>
      </c>
      <c r="N330" t="s">
        <v>966</v>
      </c>
      <c r="O330">
        <v>2023</v>
      </c>
      <c r="P330" t="str">
        <f t="shared" si="18"/>
        <v>Black or African American</v>
      </c>
      <c r="Q330">
        <v>32.874409200000002</v>
      </c>
      <c r="R330">
        <v>-117.23611849678871</v>
      </c>
      <c r="S330">
        <f t="shared" si="16"/>
        <v>1</v>
      </c>
    </row>
    <row r="331" spans="1:19">
      <c r="A331" t="s">
        <v>97</v>
      </c>
      <c r="B331" t="s">
        <v>98</v>
      </c>
      <c r="C331" t="s">
        <v>992</v>
      </c>
      <c r="D331" t="s">
        <v>915</v>
      </c>
      <c r="E331" t="str">
        <f t="shared" si="17"/>
        <v>Department of Cardiac Surgery/CARDSURG-Thoracic Surgery-Integrated</v>
      </c>
      <c r="F331" t="s">
        <v>74</v>
      </c>
      <c r="G331" s="2" t="s">
        <v>866</v>
      </c>
      <c r="H331" t="s">
        <v>15</v>
      </c>
      <c r="I331" t="s">
        <v>96</v>
      </c>
      <c r="J331" s="1">
        <v>46203</v>
      </c>
      <c r="K331">
        <v>4</v>
      </c>
      <c r="L331" t="s">
        <v>972</v>
      </c>
      <c r="M331" t="s">
        <v>982</v>
      </c>
      <c r="N331" t="s">
        <v>966</v>
      </c>
      <c r="O331">
        <v>2023</v>
      </c>
      <c r="P331" t="str">
        <f t="shared" si="18"/>
        <v>Black or African American</v>
      </c>
      <c r="Q331">
        <v>40.841542800000013</v>
      </c>
      <c r="R331">
        <v>-73.94139229999999</v>
      </c>
      <c r="S331">
        <f t="shared" si="16"/>
        <v>1</v>
      </c>
    </row>
    <row r="332" spans="1:19">
      <c r="A332" t="s">
        <v>406</v>
      </c>
      <c r="B332" t="s">
        <v>407</v>
      </c>
      <c r="C332" t="s">
        <v>989</v>
      </c>
      <c r="D332" t="s">
        <v>894</v>
      </c>
      <c r="E332" t="str">
        <f t="shared" si="17"/>
        <v>Department of Surgery/SURG-Otolaryngology Head and Neck Surgery</v>
      </c>
      <c r="F332" t="s">
        <v>29</v>
      </c>
      <c r="G332" s="2" t="s">
        <v>866</v>
      </c>
      <c r="H332" t="s">
        <v>10</v>
      </c>
      <c r="I332" t="s">
        <v>11</v>
      </c>
      <c r="J332" s="1">
        <v>46561</v>
      </c>
      <c r="K332">
        <v>2</v>
      </c>
      <c r="L332" t="s">
        <v>972</v>
      </c>
      <c r="M332" t="s">
        <v>986</v>
      </c>
      <c r="N332" t="s">
        <v>11</v>
      </c>
      <c r="O332">
        <v>2023</v>
      </c>
      <c r="P332" t="str">
        <f t="shared" si="18"/>
        <v>Asian</v>
      </c>
      <c r="Q332">
        <v>36.005368400000002</v>
      </c>
      <c r="R332">
        <v>-78.938201699999993</v>
      </c>
      <c r="S332" t="str">
        <f t="shared" si="16"/>
        <v/>
      </c>
    </row>
    <row r="333" spans="1:19">
      <c r="A333" t="s">
        <v>839</v>
      </c>
      <c r="B333" t="s">
        <v>840</v>
      </c>
      <c r="C333" t="s">
        <v>988</v>
      </c>
      <c r="D333" t="s">
        <v>900</v>
      </c>
      <c r="E333" t="str">
        <f t="shared" si="17"/>
        <v>Department of Medicine/MED-Clinical informatics</v>
      </c>
      <c r="F333" t="s">
        <v>9</v>
      </c>
      <c r="G333" s="2" t="s">
        <v>865</v>
      </c>
      <c r="H333" t="s">
        <v>15</v>
      </c>
      <c r="I333" t="s">
        <v>11</v>
      </c>
      <c r="J333" s="1">
        <v>45838</v>
      </c>
      <c r="K333">
        <v>4</v>
      </c>
      <c r="L333" t="s">
        <v>972</v>
      </c>
      <c r="M333" t="s">
        <v>984</v>
      </c>
      <c r="N333" t="s">
        <v>11</v>
      </c>
      <c r="O333">
        <v>2023</v>
      </c>
      <c r="P333" t="str">
        <f t="shared" si="18"/>
        <v>Asian</v>
      </c>
      <c r="Q333">
        <v>34.061138</v>
      </c>
      <c r="R333">
        <v>-118.2057365</v>
      </c>
      <c r="S333" t="str">
        <f t="shared" si="16"/>
        <v/>
      </c>
    </row>
    <row r="334" spans="1:19">
      <c r="A334" t="s">
        <v>841</v>
      </c>
      <c r="B334" t="s">
        <v>842</v>
      </c>
      <c r="C334" t="s">
        <v>991</v>
      </c>
      <c r="D334" t="s">
        <v>912</v>
      </c>
      <c r="E334" t="str">
        <f t="shared" si="17"/>
        <v>Department of Cardiology/CARD-Women's Heart Disease</v>
      </c>
      <c r="F334" t="s">
        <v>9</v>
      </c>
      <c r="G334" t="s">
        <v>969</v>
      </c>
      <c r="H334" t="s">
        <v>10</v>
      </c>
      <c r="I334" t="s">
        <v>21</v>
      </c>
      <c r="J334" s="1">
        <v>45473</v>
      </c>
      <c r="K334">
        <v>7</v>
      </c>
      <c r="L334" t="s">
        <v>972</v>
      </c>
      <c r="M334" t="s">
        <v>984</v>
      </c>
      <c r="N334" t="s">
        <v>21</v>
      </c>
      <c r="O334">
        <v>2023</v>
      </c>
      <c r="P334" t="str">
        <f t="shared" si="18"/>
        <v>White</v>
      </c>
      <c r="Q334">
        <v>34.061138</v>
      </c>
      <c r="R334">
        <v>-118.2057365</v>
      </c>
      <c r="S334" t="str">
        <f t="shared" si="16"/>
        <v/>
      </c>
    </row>
    <row r="335" spans="1:19">
      <c r="A335" t="s">
        <v>88</v>
      </c>
      <c r="B335" t="s">
        <v>89</v>
      </c>
      <c r="C335" t="s">
        <v>997</v>
      </c>
      <c r="D335" t="s">
        <v>888</v>
      </c>
      <c r="E335" t="str">
        <f t="shared" si="17"/>
        <v>Department of Orthopedic Surgery/ORTHO-Orthopaedic Surgery</v>
      </c>
      <c r="F335" t="s">
        <v>74</v>
      </c>
      <c r="G335" s="2" t="s">
        <v>866</v>
      </c>
      <c r="H335" t="s">
        <v>15</v>
      </c>
      <c r="I335" t="s">
        <v>11</v>
      </c>
      <c r="J335" s="1">
        <v>45838</v>
      </c>
      <c r="K335">
        <v>4</v>
      </c>
      <c r="L335" t="s">
        <v>972</v>
      </c>
      <c r="M335" t="s">
        <v>983</v>
      </c>
      <c r="N335" t="s">
        <v>11</v>
      </c>
      <c r="O335">
        <v>2023</v>
      </c>
      <c r="P335" t="str">
        <f t="shared" si="18"/>
        <v>Asian</v>
      </c>
      <c r="Q335">
        <v>32.874409200000002</v>
      </c>
      <c r="R335">
        <v>-117.23611849678871</v>
      </c>
      <c r="S335" t="str">
        <f t="shared" si="16"/>
        <v/>
      </c>
    </row>
    <row r="336" spans="1:19">
      <c r="A336" t="s">
        <v>235</v>
      </c>
      <c r="B336" t="s">
        <v>134</v>
      </c>
      <c r="C336" t="s">
        <v>990</v>
      </c>
      <c r="D336" t="s">
        <v>886</v>
      </c>
      <c r="E336" t="str">
        <f t="shared" si="17"/>
        <v>Department of Anesthesia/ANES-Anesthesiology</v>
      </c>
      <c r="F336" t="s">
        <v>183</v>
      </c>
      <c r="G336" s="2" t="s">
        <v>866</v>
      </c>
      <c r="H336" t="s">
        <v>10</v>
      </c>
      <c r="I336" t="s">
        <v>11</v>
      </c>
      <c r="J336" s="1">
        <v>45838</v>
      </c>
      <c r="K336">
        <v>3</v>
      </c>
      <c r="L336" t="s">
        <v>972</v>
      </c>
      <c r="M336" t="s">
        <v>982</v>
      </c>
      <c r="N336" t="s">
        <v>11</v>
      </c>
      <c r="O336">
        <v>2023</v>
      </c>
      <c r="P336" t="str">
        <f t="shared" si="18"/>
        <v>Asian</v>
      </c>
      <c r="Q336">
        <v>40.841542800000013</v>
      </c>
      <c r="R336">
        <v>-73.94139229999999</v>
      </c>
      <c r="S336" t="str">
        <f t="shared" si="16"/>
        <v/>
      </c>
    </row>
    <row r="337" spans="1:19">
      <c r="A337" t="s">
        <v>235</v>
      </c>
      <c r="B337" t="s">
        <v>724</v>
      </c>
      <c r="C337" t="s">
        <v>991</v>
      </c>
      <c r="D337" t="s">
        <v>898</v>
      </c>
      <c r="E337" t="str">
        <f t="shared" si="17"/>
        <v>Department of Cardiology/CARD-Cardiovascular Disease</v>
      </c>
      <c r="F337" t="s">
        <v>14</v>
      </c>
      <c r="G337" s="2" t="s">
        <v>865</v>
      </c>
      <c r="H337" t="s">
        <v>15</v>
      </c>
      <c r="I337" t="s">
        <v>11</v>
      </c>
      <c r="J337" s="1">
        <v>45838</v>
      </c>
      <c r="K337">
        <v>5</v>
      </c>
      <c r="L337" t="s">
        <v>972</v>
      </c>
      <c r="M337" t="s">
        <v>986</v>
      </c>
      <c r="N337" t="s">
        <v>11</v>
      </c>
      <c r="O337">
        <v>2023</v>
      </c>
      <c r="P337" t="str">
        <f t="shared" si="18"/>
        <v>Asian</v>
      </c>
      <c r="Q337">
        <v>36.005368400000002</v>
      </c>
      <c r="R337">
        <v>-78.938201699999993</v>
      </c>
      <c r="S337" t="str">
        <f t="shared" si="16"/>
        <v/>
      </c>
    </row>
    <row r="338" spans="1:19">
      <c r="A338" t="s">
        <v>235</v>
      </c>
      <c r="B338" t="s">
        <v>129</v>
      </c>
      <c r="C338" t="s">
        <v>988</v>
      </c>
      <c r="D338" t="s">
        <v>887</v>
      </c>
      <c r="E338" t="str">
        <f t="shared" si="17"/>
        <v>Department of Medicine/MED-Internal Medicine</v>
      </c>
      <c r="F338" t="s">
        <v>18</v>
      </c>
      <c r="G338" s="2" t="s">
        <v>866</v>
      </c>
      <c r="H338" t="s">
        <v>15</v>
      </c>
      <c r="I338" t="s">
        <v>11</v>
      </c>
      <c r="J338" s="1">
        <v>46196</v>
      </c>
      <c r="K338">
        <v>1</v>
      </c>
      <c r="L338" t="s">
        <v>972</v>
      </c>
      <c r="M338" t="s">
        <v>981</v>
      </c>
      <c r="N338" t="s">
        <v>11</v>
      </c>
      <c r="O338">
        <v>2023</v>
      </c>
      <c r="P338" t="str">
        <f t="shared" si="18"/>
        <v>Asian</v>
      </c>
      <c r="Q338">
        <v>42.336831850000003</v>
      </c>
      <c r="R338">
        <v>-71.103809211180575</v>
      </c>
      <c r="S338" t="str">
        <f t="shared" si="16"/>
        <v/>
      </c>
    </row>
    <row r="339" spans="1:19">
      <c r="A339" t="s">
        <v>235</v>
      </c>
      <c r="B339" t="s">
        <v>236</v>
      </c>
      <c r="C339" t="s">
        <v>989</v>
      </c>
      <c r="D339" t="s">
        <v>889</v>
      </c>
      <c r="E339" t="str">
        <f t="shared" si="17"/>
        <v>Department of Surgery/SURG-Surgery</v>
      </c>
      <c r="F339" t="s">
        <v>74</v>
      </c>
      <c r="G339" s="2" t="s">
        <v>866</v>
      </c>
      <c r="H339" t="s">
        <v>15</v>
      </c>
      <c r="I339" t="s">
        <v>973</v>
      </c>
      <c r="J339" s="1">
        <v>45831</v>
      </c>
      <c r="K339">
        <v>4</v>
      </c>
      <c r="L339" t="s">
        <v>972</v>
      </c>
      <c r="M339" t="s">
        <v>985</v>
      </c>
      <c r="N339" t="s">
        <v>973</v>
      </c>
      <c r="O339">
        <v>2023</v>
      </c>
      <c r="P339" t="str">
        <f t="shared" si="18"/>
        <v>No response/undeclared</v>
      </c>
      <c r="Q339">
        <v>37.4582762</v>
      </c>
      <c r="R339">
        <v>-122.1739822</v>
      </c>
      <c r="S339" t="str">
        <f t="shared" si="16"/>
        <v/>
      </c>
    </row>
    <row r="340" spans="1:19">
      <c r="A340" t="s">
        <v>178</v>
      </c>
      <c r="B340" t="s">
        <v>179</v>
      </c>
      <c r="C340" t="s">
        <v>988</v>
      </c>
      <c r="D340" t="s">
        <v>887</v>
      </c>
      <c r="E340" t="str">
        <f t="shared" si="17"/>
        <v>Department of Medicine/MED-Internal Medicine</v>
      </c>
      <c r="F340" t="s">
        <v>24</v>
      </c>
      <c r="G340" t="s">
        <v>969</v>
      </c>
      <c r="H340" t="s">
        <v>15</v>
      </c>
      <c r="I340" t="s">
        <v>11</v>
      </c>
      <c r="J340" s="1">
        <v>45100</v>
      </c>
      <c r="K340">
        <v>3</v>
      </c>
      <c r="L340" t="s">
        <v>972</v>
      </c>
      <c r="M340" t="s">
        <v>978</v>
      </c>
      <c r="N340" t="s">
        <v>11</v>
      </c>
      <c r="O340">
        <v>2023</v>
      </c>
      <c r="P340" t="str">
        <f t="shared" si="18"/>
        <v>Asian</v>
      </c>
      <c r="Q340">
        <v>33.793635299999998</v>
      </c>
      <c r="R340">
        <v>-84.322179556478247</v>
      </c>
      <c r="S340" t="str">
        <f t="shared" si="16"/>
        <v/>
      </c>
    </row>
    <row r="341" spans="1:19">
      <c r="A341" t="s">
        <v>178</v>
      </c>
      <c r="B341" t="s">
        <v>796</v>
      </c>
      <c r="C341" t="s">
        <v>993</v>
      </c>
      <c r="D341" t="s">
        <v>906</v>
      </c>
      <c r="E341" t="str">
        <f t="shared" si="17"/>
        <v>Department of Neurology/NEURO-Neurologic Critical Care</v>
      </c>
      <c r="F341" t="s">
        <v>14</v>
      </c>
      <c r="G341" s="2" t="s">
        <v>865</v>
      </c>
      <c r="H341" t="s">
        <v>15</v>
      </c>
      <c r="I341" t="s">
        <v>11</v>
      </c>
      <c r="J341" s="1">
        <v>45473</v>
      </c>
      <c r="K341">
        <v>7</v>
      </c>
      <c r="L341" t="s">
        <v>972</v>
      </c>
      <c r="M341" t="s">
        <v>981</v>
      </c>
      <c r="N341" t="s">
        <v>11</v>
      </c>
      <c r="O341">
        <v>2023</v>
      </c>
      <c r="P341" t="str">
        <f t="shared" si="18"/>
        <v>Asian</v>
      </c>
      <c r="Q341">
        <v>42.336831850000003</v>
      </c>
      <c r="R341">
        <v>-71.103809211180575</v>
      </c>
      <c r="S341" t="str">
        <f t="shared" si="16"/>
        <v/>
      </c>
    </row>
    <row r="342" spans="1:19">
      <c r="A342" t="s">
        <v>550</v>
      </c>
      <c r="B342" t="s">
        <v>551</v>
      </c>
      <c r="C342" t="s">
        <v>988</v>
      </c>
      <c r="D342" t="s">
        <v>887</v>
      </c>
      <c r="E342" t="str">
        <f t="shared" si="17"/>
        <v>Department of Medicine/MED-Internal Medicine</v>
      </c>
      <c r="F342" t="s">
        <v>18</v>
      </c>
      <c r="G342" s="2" t="s">
        <v>866</v>
      </c>
      <c r="H342" t="s">
        <v>10</v>
      </c>
      <c r="I342" t="s">
        <v>83</v>
      </c>
      <c r="J342" s="1">
        <v>46196</v>
      </c>
      <c r="K342">
        <v>1</v>
      </c>
      <c r="L342" t="s">
        <v>972</v>
      </c>
      <c r="M342" t="s">
        <v>977</v>
      </c>
      <c r="N342" t="s">
        <v>966</v>
      </c>
      <c r="O342">
        <v>2023</v>
      </c>
      <c r="P342" t="str">
        <f t="shared" si="18"/>
        <v>Hispanic or Latino</v>
      </c>
      <c r="Q342">
        <v>39.745566599999997</v>
      </c>
      <c r="R342">
        <v>-104.8359873</v>
      </c>
      <c r="S342">
        <f t="shared" si="16"/>
        <v>1</v>
      </c>
    </row>
    <row r="343" spans="1:19">
      <c r="A343" t="s">
        <v>301</v>
      </c>
      <c r="B343" t="s">
        <v>302</v>
      </c>
      <c r="C343" t="s">
        <v>989</v>
      </c>
      <c r="D343" t="s">
        <v>889</v>
      </c>
      <c r="E343" t="str">
        <f t="shared" si="17"/>
        <v>Department of Surgery/SURG-Surgery</v>
      </c>
      <c r="F343" t="s">
        <v>29</v>
      </c>
      <c r="G343" s="2" t="s">
        <v>866</v>
      </c>
      <c r="H343" t="s">
        <v>10</v>
      </c>
      <c r="I343" t="s">
        <v>11</v>
      </c>
      <c r="J343" s="1">
        <v>46561</v>
      </c>
      <c r="K343">
        <v>2</v>
      </c>
      <c r="L343" t="s">
        <v>972</v>
      </c>
      <c r="M343" t="s">
        <v>986</v>
      </c>
      <c r="N343" t="s">
        <v>11</v>
      </c>
      <c r="O343">
        <v>2023</v>
      </c>
      <c r="P343" t="str">
        <f t="shared" si="18"/>
        <v>Asian</v>
      </c>
      <c r="Q343">
        <v>36.005368400000002</v>
      </c>
      <c r="R343">
        <v>-78.938201699999993</v>
      </c>
      <c r="S343" t="str">
        <f t="shared" si="16"/>
        <v/>
      </c>
    </row>
    <row r="344" spans="1:19">
      <c r="A344" t="s">
        <v>111</v>
      </c>
      <c r="B344" t="s">
        <v>112</v>
      </c>
      <c r="C344" t="s">
        <v>988</v>
      </c>
      <c r="D344" t="s">
        <v>932</v>
      </c>
      <c r="E344" t="str">
        <f t="shared" si="17"/>
        <v>Department of Medicine/MED-Hospice &amp; Palliative Care Medicine</v>
      </c>
      <c r="F344" t="s">
        <v>9</v>
      </c>
      <c r="G344" s="2" t="s">
        <v>865</v>
      </c>
      <c r="H344" t="s">
        <v>10</v>
      </c>
      <c r="I344" t="s">
        <v>21</v>
      </c>
      <c r="J344" s="1">
        <v>45473</v>
      </c>
      <c r="K344">
        <v>4</v>
      </c>
      <c r="L344" t="s">
        <v>972</v>
      </c>
      <c r="M344" t="s">
        <v>981</v>
      </c>
      <c r="N344" t="s">
        <v>21</v>
      </c>
      <c r="O344">
        <v>2023</v>
      </c>
      <c r="P344" t="str">
        <f t="shared" si="18"/>
        <v>White</v>
      </c>
      <c r="Q344">
        <v>42.336831850000003</v>
      </c>
      <c r="R344">
        <v>-71.103809211180575</v>
      </c>
      <c r="S344" t="str">
        <f t="shared" si="16"/>
        <v/>
      </c>
    </row>
    <row r="345" spans="1:19">
      <c r="A345" t="s">
        <v>380</v>
      </c>
      <c r="B345" t="s">
        <v>104</v>
      </c>
      <c r="C345" t="s">
        <v>988</v>
      </c>
      <c r="D345" t="s">
        <v>887</v>
      </c>
      <c r="E345" t="str">
        <f t="shared" si="17"/>
        <v>Department of Medicine/MED-Internal Medicine</v>
      </c>
      <c r="F345" t="s">
        <v>183</v>
      </c>
      <c r="G345" s="2" t="s">
        <v>866</v>
      </c>
      <c r="H345" t="s">
        <v>15</v>
      </c>
      <c r="I345" t="s">
        <v>11</v>
      </c>
      <c r="J345" s="1">
        <v>45466</v>
      </c>
      <c r="K345">
        <v>3</v>
      </c>
      <c r="L345" t="s">
        <v>972</v>
      </c>
      <c r="M345" t="s">
        <v>977</v>
      </c>
      <c r="N345" t="s">
        <v>11</v>
      </c>
      <c r="O345">
        <v>2023</v>
      </c>
      <c r="P345" t="str">
        <f t="shared" si="18"/>
        <v>Asian</v>
      </c>
      <c r="Q345">
        <v>39.745566599999997</v>
      </c>
      <c r="R345">
        <v>-104.8359873</v>
      </c>
      <c r="S345" t="str">
        <f t="shared" si="16"/>
        <v/>
      </c>
    </row>
    <row r="346" spans="1:19">
      <c r="A346" t="s">
        <v>494</v>
      </c>
      <c r="B346" t="s">
        <v>495</v>
      </c>
      <c r="C346" t="s">
        <v>990</v>
      </c>
      <c r="D346" t="s">
        <v>886</v>
      </c>
      <c r="E346" t="str">
        <f t="shared" si="17"/>
        <v>Department of Anesthesia/ANES-Anesthesiology</v>
      </c>
      <c r="F346" t="s">
        <v>18</v>
      </c>
      <c r="G346" s="2" t="s">
        <v>866</v>
      </c>
      <c r="H346" t="s">
        <v>10</v>
      </c>
      <c r="I346" t="s">
        <v>11</v>
      </c>
      <c r="J346" s="1">
        <v>46568</v>
      </c>
      <c r="K346">
        <v>1</v>
      </c>
      <c r="L346" t="s">
        <v>972</v>
      </c>
      <c r="M346" t="s">
        <v>985</v>
      </c>
      <c r="N346" t="s">
        <v>11</v>
      </c>
      <c r="O346">
        <v>2023</v>
      </c>
      <c r="P346" t="str">
        <f t="shared" si="18"/>
        <v>Asian</v>
      </c>
      <c r="Q346">
        <v>37.4582762</v>
      </c>
      <c r="R346">
        <v>-122.1739822</v>
      </c>
      <c r="S346" t="str">
        <f t="shared" si="16"/>
        <v/>
      </c>
    </row>
    <row r="347" spans="1:19">
      <c r="A347" t="s">
        <v>161</v>
      </c>
      <c r="B347" t="s">
        <v>162</v>
      </c>
      <c r="C347" t="s">
        <v>996</v>
      </c>
      <c r="D347" t="s">
        <v>960</v>
      </c>
      <c r="E347" t="str">
        <f t="shared" si="17"/>
        <v>Department of Obstetrics &amp; Gynecology/OB/GYN-Obstetrics &amp; Gynecology</v>
      </c>
      <c r="F347" t="s">
        <v>18</v>
      </c>
      <c r="G347" s="2" t="s">
        <v>866</v>
      </c>
      <c r="H347" t="s">
        <v>10</v>
      </c>
      <c r="I347" t="s">
        <v>163</v>
      </c>
      <c r="J347" s="1">
        <v>46561</v>
      </c>
      <c r="K347">
        <v>1</v>
      </c>
      <c r="L347" t="s">
        <v>972</v>
      </c>
      <c r="M347" t="s">
        <v>983</v>
      </c>
      <c r="N347" t="s">
        <v>11</v>
      </c>
      <c r="O347">
        <v>2023</v>
      </c>
      <c r="P347" t="s">
        <v>11</v>
      </c>
      <c r="Q347">
        <v>32.874409200000002</v>
      </c>
      <c r="R347">
        <v>-117.23611849678871</v>
      </c>
      <c r="S347" t="str">
        <f t="shared" si="16"/>
        <v/>
      </c>
    </row>
    <row r="348" spans="1:19">
      <c r="A348" t="s">
        <v>126</v>
      </c>
      <c r="B348" t="s">
        <v>127</v>
      </c>
      <c r="C348" t="s">
        <v>997</v>
      </c>
      <c r="D348" t="s">
        <v>936</v>
      </c>
      <c r="E348" t="str">
        <f t="shared" si="17"/>
        <v>Department of Orthopedic Surgery/ORTHO-Orthopaedic Foot and Ankle</v>
      </c>
      <c r="F348" t="s">
        <v>9</v>
      </c>
      <c r="G348" t="s">
        <v>969</v>
      </c>
      <c r="H348" t="s">
        <v>15</v>
      </c>
      <c r="I348" t="s">
        <v>83</v>
      </c>
      <c r="J348" s="1">
        <v>45504</v>
      </c>
      <c r="K348">
        <v>6</v>
      </c>
      <c r="L348" t="s">
        <v>972</v>
      </c>
      <c r="M348" t="s">
        <v>983</v>
      </c>
      <c r="N348" t="s">
        <v>966</v>
      </c>
      <c r="O348">
        <v>2023</v>
      </c>
      <c r="P348" t="str">
        <f t="shared" si="18"/>
        <v>Hispanic or Latino</v>
      </c>
      <c r="Q348">
        <v>32.874409200000002</v>
      </c>
      <c r="R348">
        <v>-117.23611849678871</v>
      </c>
      <c r="S348">
        <f t="shared" si="16"/>
        <v>1</v>
      </c>
    </row>
    <row r="349" spans="1:19">
      <c r="A349" t="s">
        <v>30</v>
      </c>
      <c r="B349" t="s">
        <v>31</v>
      </c>
      <c r="C349" t="s">
        <v>989</v>
      </c>
      <c r="D349" t="s">
        <v>947</v>
      </c>
      <c r="E349" t="str">
        <f t="shared" si="17"/>
        <v>Department of Surgery/SURG-Surgical Oncology</v>
      </c>
      <c r="F349" t="s">
        <v>14</v>
      </c>
      <c r="G349" s="2" t="s">
        <v>865</v>
      </c>
      <c r="H349" t="s">
        <v>15</v>
      </c>
      <c r="I349" t="s">
        <v>21</v>
      </c>
      <c r="J349" s="1">
        <v>45504</v>
      </c>
      <c r="K349">
        <v>7</v>
      </c>
      <c r="L349" t="s">
        <v>972</v>
      </c>
      <c r="M349" t="s">
        <v>979</v>
      </c>
      <c r="N349" t="s">
        <v>21</v>
      </c>
      <c r="O349">
        <v>2023</v>
      </c>
      <c r="P349" t="str">
        <f t="shared" si="18"/>
        <v>White</v>
      </c>
      <c r="Q349">
        <v>40.443128700000003</v>
      </c>
      <c r="R349">
        <v>-79.961324099999999</v>
      </c>
      <c r="S349" t="str">
        <f t="shared" si="16"/>
        <v/>
      </c>
    </row>
    <row r="350" spans="1:19">
      <c r="A350" t="s">
        <v>801</v>
      </c>
      <c r="B350" t="s">
        <v>802</v>
      </c>
      <c r="C350" t="s">
        <v>1000</v>
      </c>
      <c r="D350" t="s">
        <v>916</v>
      </c>
      <c r="E350" t="str">
        <f t="shared" si="17"/>
        <v>Department of Imaging/IMG-Diagnostic Radiology</v>
      </c>
      <c r="F350" t="s">
        <v>18</v>
      </c>
      <c r="G350" s="2" t="s">
        <v>866</v>
      </c>
      <c r="H350" t="s">
        <v>15</v>
      </c>
      <c r="I350" t="s">
        <v>21</v>
      </c>
      <c r="J350" s="1">
        <v>46568</v>
      </c>
      <c r="K350">
        <v>2</v>
      </c>
      <c r="L350" t="s">
        <v>972</v>
      </c>
      <c r="M350" t="s">
        <v>984</v>
      </c>
      <c r="N350" t="s">
        <v>21</v>
      </c>
      <c r="O350">
        <v>2023</v>
      </c>
      <c r="P350" t="str">
        <f t="shared" si="18"/>
        <v>White</v>
      </c>
      <c r="Q350">
        <v>34.061138</v>
      </c>
      <c r="R350">
        <v>-118.2057365</v>
      </c>
      <c r="S350" t="str">
        <f t="shared" si="16"/>
        <v/>
      </c>
    </row>
    <row r="351" spans="1:19">
      <c r="A351" t="s">
        <v>520</v>
      </c>
      <c r="B351" t="s">
        <v>521</v>
      </c>
      <c r="C351" t="s">
        <v>996</v>
      </c>
      <c r="D351" t="s">
        <v>960</v>
      </c>
      <c r="E351" t="str">
        <f t="shared" si="17"/>
        <v>Department of Obstetrics &amp; Gynecology/OB/GYN-Obstetrics &amp; Gynecology</v>
      </c>
      <c r="F351" t="s">
        <v>18</v>
      </c>
      <c r="G351" s="2" t="s">
        <v>866</v>
      </c>
      <c r="H351" t="s">
        <v>10</v>
      </c>
      <c r="I351" t="s">
        <v>21</v>
      </c>
      <c r="J351" s="1">
        <v>46561</v>
      </c>
      <c r="K351">
        <v>1</v>
      </c>
      <c r="L351" t="s">
        <v>972</v>
      </c>
      <c r="M351" t="s">
        <v>983</v>
      </c>
      <c r="N351" t="s">
        <v>21</v>
      </c>
      <c r="O351">
        <v>2023</v>
      </c>
      <c r="P351" t="str">
        <f t="shared" si="18"/>
        <v>White</v>
      </c>
      <c r="Q351">
        <v>32.874409200000002</v>
      </c>
      <c r="R351">
        <v>-117.23611849678871</v>
      </c>
      <c r="S351" t="str">
        <f t="shared" si="16"/>
        <v/>
      </c>
    </row>
    <row r="352" spans="1:19">
      <c r="A352" t="s">
        <v>820</v>
      </c>
      <c r="B352" t="s">
        <v>802</v>
      </c>
      <c r="C352" t="s">
        <v>1000</v>
      </c>
      <c r="D352" t="s">
        <v>951</v>
      </c>
      <c r="E352" t="str">
        <f t="shared" si="17"/>
        <v>Department of Imaging/IMG-Neuroradiology</v>
      </c>
      <c r="F352" t="s">
        <v>9</v>
      </c>
      <c r="G352" s="2" t="s">
        <v>865</v>
      </c>
      <c r="H352" t="s">
        <v>15</v>
      </c>
      <c r="I352" t="s">
        <v>21</v>
      </c>
      <c r="J352" s="1">
        <v>45473</v>
      </c>
      <c r="K352">
        <v>7</v>
      </c>
      <c r="L352" t="s">
        <v>972</v>
      </c>
      <c r="M352" t="s">
        <v>984</v>
      </c>
      <c r="N352" t="s">
        <v>21</v>
      </c>
      <c r="O352">
        <v>2023</v>
      </c>
      <c r="P352" t="str">
        <f t="shared" si="18"/>
        <v>White</v>
      </c>
      <c r="Q352">
        <v>34.061138</v>
      </c>
      <c r="R352">
        <v>-118.2057365</v>
      </c>
      <c r="S352" t="str">
        <f t="shared" si="16"/>
        <v/>
      </c>
    </row>
    <row r="353" spans="1:19">
      <c r="A353" t="s">
        <v>115</v>
      </c>
      <c r="B353" t="s">
        <v>116</v>
      </c>
      <c r="C353" t="s">
        <v>988</v>
      </c>
      <c r="D353" t="s">
        <v>934</v>
      </c>
      <c r="E353" t="str">
        <f t="shared" si="17"/>
        <v>Department of Medicine/MED-Gastro-IBD</v>
      </c>
      <c r="F353" t="s">
        <v>9</v>
      </c>
      <c r="G353" t="s">
        <v>969</v>
      </c>
      <c r="H353" t="s">
        <v>10</v>
      </c>
      <c r="I353" t="s">
        <v>83</v>
      </c>
      <c r="J353" s="1">
        <v>45482</v>
      </c>
      <c r="K353">
        <v>7</v>
      </c>
      <c r="L353" t="s">
        <v>972</v>
      </c>
      <c r="M353" t="s">
        <v>984</v>
      </c>
      <c r="N353" t="s">
        <v>966</v>
      </c>
      <c r="O353">
        <v>2023</v>
      </c>
      <c r="P353" t="str">
        <f t="shared" si="18"/>
        <v>Hispanic or Latino</v>
      </c>
      <c r="Q353">
        <v>34.061138</v>
      </c>
      <c r="R353">
        <v>-118.2057365</v>
      </c>
      <c r="S353">
        <f t="shared" si="16"/>
        <v>1</v>
      </c>
    </row>
    <row r="354" spans="1:19">
      <c r="A354" t="s">
        <v>368</v>
      </c>
      <c r="B354" t="s">
        <v>369</v>
      </c>
      <c r="C354" t="s">
        <v>988</v>
      </c>
      <c r="D354" t="s">
        <v>887</v>
      </c>
      <c r="E354" t="str">
        <f t="shared" si="17"/>
        <v>Department of Medicine/MED-Internal Medicine</v>
      </c>
      <c r="F354" t="s">
        <v>183</v>
      </c>
      <c r="G354" s="2" t="s">
        <v>866</v>
      </c>
      <c r="H354" t="s">
        <v>10</v>
      </c>
      <c r="I354" t="s">
        <v>83</v>
      </c>
      <c r="J354" s="1">
        <v>45466</v>
      </c>
      <c r="K354">
        <v>3</v>
      </c>
      <c r="L354" t="s">
        <v>972</v>
      </c>
      <c r="M354" t="s">
        <v>977</v>
      </c>
      <c r="N354" t="s">
        <v>966</v>
      </c>
      <c r="O354">
        <v>2023</v>
      </c>
      <c r="P354" t="str">
        <f t="shared" si="18"/>
        <v>Hispanic or Latino</v>
      </c>
      <c r="Q354">
        <v>39.745566599999997</v>
      </c>
      <c r="R354">
        <v>-104.8359873</v>
      </c>
      <c r="S354">
        <f t="shared" si="16"/>
        <v>1</v>
      </c>
    </row>
    <row r="355" spans="1:19">
      <c r="A355" t="s">
        <v>786</v>
      </c>
      <c r="B355" t="s">
        <v>787</v>
      </c>
      <c r="C355" t="s">
        <v>988</v>
      </c>
      <c r="D355" t="s">
        <v>892</v>
      </c>
      <c r="E355" t="str">
        <f t="shared" si="17"/>
        <v>Department of Medicine/MED-Rheumatology</v>
      </c>
      <c r="F355" t="s">
        <v>9</v>
      </c>
      <c r="G355" s="2" t="s">
        <v>865</v>
      </c>
      <c r="H355" t="s">
        <v>15</v>
      </c>
      <c r="I355" t="s">
        <v>973</v>
      </c>
      <c r="J355" s="1">
        <v>45838</v>
      </c>
      <c r="K355">
        <v>4</v>
      </c>
      <c r="L355" t="s">
        <v>972</v>
      </c>
      <c r="M355" t="s">
        <v>978</v>
      </c>
      <c r="N355" t="s">
        <v>973</v>
      </c>
      <c r="O355">
        <v>2023</v>
      </c>
      <c r="P355" t="str">
        <f t="shared" si="18"/>
        <v>No response/undeclared</v>
      </c>
      <c r="Q355">
        <v>33.793635299999998</v>
      </c>
      <c r="R355">
        <v>-84.322179556478247</v>
      </c>
      <c r="S355" t="str">
        <f t="shared" si="16"/>
        <v/>
      </c>
    </row>
    <row r="356" spans="1:19">
      <c r="A356" t="s">
        <v>633</v>
      </c>
      <c r="B356" t="s">
        <v>275</v>
      </c>
      <c r="C356" t="s">
        <v>995</v>
      </c>
      <c r="D356" t="s">
        <v>918</v>
      </c>
      <c r="E356" t="str">
        <f t="shared" si="17"/>
        <v>Department of Neurosurgery/NEUROSURG-Neurological Surgery</v>
      </c>
      <c r="F356" t="s">
        <v>29</v>
      </c>
      <c r="G356" s="2" t="s">
        <v>866</v>
      </c>
      <c r="H356" t="s">
        <v>15</v>
      </c>
      <c r="I356" t="s">
        <v>83</v>
      </c>
      <c r="J356" s="1">
        <v>47299</v>
      </c>
      <c r="K356">
        <v>2</v>
      </c>
      <c r="L356" t="s">
        <v>972</v>
      </c>
      <c r="M356" t="s">
        <v>983</v>
      </c>
      <c r="N356" t="s">
        <v>966</v>
      </c>
      <c r="O356">
        <v>2023</v>
      </c>
      <c r="P356" t="str">
        <f t="shared" si="18"/>
        <v>Hispanic or Latino</v>
      </c>
      <c r="Q356">
        <v>32.874409200000002</v>
      </c>
      <c r="R356">
        <v>-117.23611849678871</v>
      </c>
      <c r="S356">
        <f t="shared" si="16"/>
        <v>1</v>
      </c>
    </row>
    <row r="357" spans="1:19">
      <c r="A357" t="s">
        <v>370</v>
      </c>
      <c r="B357" t="s">
        <v>371</v>
      </c>
      <c r="C357" t="s">
        <v>988</v>
      </c>
      <c r="D357" t="s">
        <v>887</v>
      </c>
      <c r="E357" t="str">
        <f t="shared" si="17"/>
        <v>Department of Medicine/MED-Internal Medicine</v>
      </c>
      <c r="F357" t="s">
        <v>183</v>
      </c>
      <c r="G357" s="2" t="s">
        <v>866</v>
      </c>
      <c r="H357" t="s">
        <v>10</v>
      </c>
      <c r="I357" t="s">
        <v>21</v>
      </c>
      <c r="J357" s="1">
        <v>45466</v>
      </c>
      <c r="K357">
        <v>3</v>
      </c>
      <c r="L357" t="s">
        <v>972</v>
      </c>
      <c r="M357" t="s">
        <v>977</v>
      </c>
      <c r="N357" t="s">
        <v>21</v>
      </c>
      <c r="O357">
        <v>2023</v>
      </c>
      <c r="P357" t="str">
        <f t="shared" si="18"/>
        <v>White</v>
      </c>
      <c r="Q357">
        <v>39.745566599999997</v>
      </c>
      <c r="R357">
        <v>-104.8359873</v>
      </c>
      <c r="S357" t="str">
        <f t="shared" si="16"/>
        <v/>
      </c>
    </row>
    <row r="358" spans="1:19">
      <c r="A358" t="s">
        <v>611</v>
      </c>
      <c r="B358" t="s">
        <v>612</v>
      </c>
      <c r="C358" t="s">
        <v>988</v>
      </c>
      <c r="D358" t="s">
        <v>903</v>
      </c>
      <c r="E358" t="str">
        <f t="shared" si="17"/>
        <v>Department of Medicine/MED-Gastroenterology</v>
      </c>
      <c r="F358" t="s">
        <v>152</v>
      </c>
      <c r="G358" s="2" t="s">
        <v>865</v>
      </c>
      <c r="H358" t="s">
        <v>10</v>
      </c>
      <c r="I358" t="s">
        <v>11</v>
      </c>
      <c r="J358" s="1">
        <v>45473</v>
      </c>
      <c r="K358">
        <v>6</v>
      </c>
      <c r="L358" t="s">
        <v>972</v>
      </c>
      <c r="M358" t="s">
        <v>984</v>
      </c>
      <c r="N358" t="s">
        <v>11</v>
      </c>
      <c r="O358">
        <v>2023</v>
      </c>
      <c r="P358" t="str">
        <f t="shared" si="18"/>
        <v>Asian</v>
      </c>
      <c r="Q358">
        <v>34.061138</v>
      </c>
      <c r="R358">
        <v>-118.2057365</v>
      </c>
      <c r="S358" t="str">
        <f t="shared" si="16"/>
        <v/>
      </c>
    </row>
    <row r="359" spans="1:19">
      <c r="A359" t="s">
        <v>775</v>
      </c>
      <c r="B359" t="s">
        <v>776</v>
      </c>
      <c r="C359" t="s">
        <v>993</v>
      </c>
      <c r="D359" t="s">
        <v>922</v>
      </c>
      <c r="E359" t="str">
        <f t="shared" si="17"/>
        <v>Department of Neurology/NEURO-Vascular Neurology</v>
      </c>
      <c r="F359" t="s">
        <v>9</v>
      </c>
      <c r="G359" s="2" t="s">
        <v>865</v>
      </c>
      <c r="H359" t="s">
        <v>15</v>
      </c>
      <c r="I359" t="s">
        <v>21</v>
      </c>
      <c r="J359" s="1">
        <v>45473</v>
      </c>
      <c r="K359">
        <v>6</v>
      </c>
      <c r="L359" t="s">
        <v>972</v>
      </c>
      <c r="M359" t="s">
        <v>983</v>
      </c>
      <c r="N359" t="s">
        <v>21</v>
      </c>
      <c r="O359">
        <v>2023</v>
      </c>
      <c r="P359" t="str">
        <f t="shared" si="18"/>
        <v>White</v>
      </c>
      <c r="Q359">
        <v>32.874409200000002</v>
      </c>
      <c r="R359">
        <v>-117.23611849678871</v>
      </c>
      <c r="S359" t="str">
        <f t="shared" si="16"/>
        <v/>
      </c>
    </row>
    <row r="360" spans="1:19">
      <c r="A360" t="s">
        <v>569</v>
      </c>
      <c r="B360" t="s">
        <v>570</v>
      </c>
      <c r="C360" t="s">
        <v>988</v>
      </c>
      <c r="D360" t="s">
        <v>887</v>
      </c>
      <c r="E360" t="str">
        <f t="shared" si="17"/>
        <v>Department of Medicine/MED-Internal Medicine</v>
      </c>
      <c r="F360" t="s">
        <v>18</v>
      </c>
      <c r="G360" s="2" t="s">
        <v>866</v>
      </c>
      <c r="H360" t="s">
        <v>10</v>
      </c>
      <c r="I360" t="s">
        <v>11</v>
      </c>
      <c r="J360" s="1">
        <v>46196</v>
      </c>
      <c r="K360">
        <v>1</v>
      </c>
      <c r="L360" t="s">
        <v>972</v>
      </c>
      <c r="M360" t="s">
        <v>981</v>
      </c>
      <c r="N360" t="s">
        <v>11</v>
      </c>
      <c r="O360">
        <v>2023</v>
      </c>
      <c r="P360" t="str">
        <f t="shared" si="18"/>
        <v>Asian</v>
      </c>
      <c r="Q360">
        <v>42.336831850000003</v>
      </c>
      <c r="R360">
        <v>-71.103809211180575</v>
      </c>
      <c r="S360" t="str">
        <f t="shared" si="16"/>
        <v/>
      </c>
    </row>
    <row r="361" spans="1:19">
      <c r="A361" t="s">
        <v>194</v>
      </c>
      <c r="B361" t="s">
        <v>195</v>
      </c>
      <c r="C361" t="s">
        <v>990</v>
      </c>
      <c r="D361" t="s">
        <v>886</v>
      </c>
      <c r="E361" t="str">
        <f t="shared" si="17"/>
        <v>Department of Anesthesia/ANES-Anesthesiology</v>
      </c>
      <c r="F361" t="s">
        <v>29</v>
      </c>
      <c r="G361" s="2" t="s">
        <v>866</v>
      </c>
      <c r="H361" t="s">
        <v>15</v>
      </c>
      <c r="I361" t="s">
        <v>80</v>
      </c>
      <c r="J361" s="1">
        <v>46203</v>
      </c>
      <c r="K361">
        <v>2</v>
      </c>
      <c r="L361" t="s">
        <v>972</v>
      </c>
      <c r="M361" t="s">
        <v>965</v>
      </c>
      <c r="N361" t="s">
        <v>80</v>
      </c>
      <c r="O361">
        <v>2023</v>
      </c>
      <c r="P361" t="str">
        <f t="shared" si="18"/>
        <v>Other</v>
      </c>
      <c r="Q361">
        <v>40.347099999999998</v>
      </c>
      <c r="R361">
        <v>-74.661600000000007</v>
      </c>
      <c r="S361" t="str">
        <f t="shared" si="16"/>
        <v/>
      </c>
    </row>
    <row r="362" spans="1:19">
      <c r="A362" t="s">
        <v>757</v>
      </c>
      <c r="B362" t="s">
        <v>758</v>
      </c>
      <c r="C362" t="s">
        <v>991</v>
      </c>
      <c r="D362" t="s">
        <v>912</v>
      </c>
      <c r="E362" t="str">
        <f t="shared" si="17"/>
        <v>Department of Cardiology/CARD-Women's Heart Disease</v>
      </c>
      <c r="F362" t="s">
        <v>14</v>
      </c>
      <c r="G362" t="s">
        <v>969</v>
      </c>
      <c r="H362" t="s">
        <v>10</v>
      </c>
      <c r="I362" t="s">
        <v>11</v>
      </c>
      <c r="J362" s="1">
        <v>45473</v>
      </c>
      <c r="K362">
        <v>5</v>
      </c>
      <c r="L362" t="s">
        <v>972</v>
      </c>
      <c r="M362" t="s">
        <v>984</v>
      </c>
      <c r="N362" t="s">
        <v>11</v>
      </c>
      <c r="O362">
        <v>2023</v>
      </c>
      <c r="P362" t="str">
        <f t="shared" si="18"/>
        <v>Asian</v>
      </c>
      <c r="Q362">
        <v>34.061138</v>
      </c>
      <c r="R362">
        <v>-118.2057365</v>
      </c>
      <c r="S362" t="str">
        <f t="shared" si="16"/>
        <v/>
      </c>
    </row>
    <row r="363" spans="1:19">
      <c r="A363" t="s">
        <v>764</v>
      </c>
      <c r="B363" t="s">
        <v>193</v>
      </c>
      <c r="C363" t="s">
        <v>997</v>
      </c>
      <c r="D363" t="s">
        <v>888</v>
      </c>
      <c r="E363" t="str">
        <f t="shared" si="17"/>
        <v>Department of Orthopedic Surgery/ORTHO-Orthopaedic Surgery</v>
      </c>
      <c r="F363" t="s">
        <v>29</v>
      </c>
      <c r="G363" s="2" t="s">
        <v>866</v>
      </c>
      <c r="H363" t="s">
        <v>15</v>
      </c>
      <c r="I363" t="s">
        <v>21</v>
      </c>
      <c r="J363" s="1">
        <v>46568</v>
      </c>
      <c r="K363">
        <v>2</v>
      </c>
      <c r="L363" t="s">
        <v>972</v>
      </c>
      <c r="M363" t="s">
        <v>986</v>
      </c>
      <c r="N363" t="s">
        <v>21</v>
      </c>
      <c r="O363">
        <v>2023</v>
      </c>
      <c r="P363" t="str">
        <f t="shared" si="18"/>
        <v>White</v>
      </c>
      <c r="Q363">
        <v>36.005368400000002</v>
      </c>
      <c r="R363">
        <v>-78.938201699999993</v>
      </c>
      <c r="S363" t="str">
        <f t="shared" si="16"/>
        <v/>
      </c>
    </row>
    <row r="364" spans="1:19">
      <c r="A364" t="s">
        <v>214</v>
      </c>
      <c r="B364" t="s">
        <v>215</v>
      </c>
      <c r="C364" t="s">
        <v>989</v>
      </c>
      <c r="D364" t="s">
        <v>889</v>
      </c>
      <c r="E364" t="str">
        <f t="shared" si="17"/>
        <v>Department of Surgery/SURG-Surgery</v>
      </c>
      <c r="F364" t="s">
        <v>183</v>
      </c>
      <c r="G364" s="2" t="s">
        <v>866</v>
      </c>
      <c r="H364" t="s">
        <v>15</v>
      </c>
      <c r="I364" t="s">
        <v>80</v>
      </c>
      <c r="J364" s="1">
        <v>46196</v>
      </c>
      <c r="K364">
        <v>3</v>
      </c>
      <c r="L364" t="s">
        <v>972</v>
      </c>
      <c r="M364" t="s">
        <v>979</v>
      </c>
      <c r="N364" t="s">
        <v>80</v>
      </c>
      <c r="O364">
        <v>2023</v>
      </c>
      <c r="P364" t="str">
        <f t="shared" si="18"/>
        <v>Other</v>
      </c>
      <c r="Q364">
        <v>40.443128700000003</v>
      </c>
      <c r="R364">
        <v>-79.961324099999999</v>
      </c>
      <c r="S364" t="str">
        <f t="shared" si="16"/>
        <v/>
      </c>
    </row>
    <row r="365" spans="1:19">
      <c r="A365" t="s">
        <v>512</v>
      </c>
      <c r="B365" t="s">
        <v>513</v>
      </c>
      <c r="C365" t="s">
        <v>988</v>
      </c>
      <c r="D365" t="s">
        <v>887</v>
      </c>
      <c r="E365" t="str">
        <f t="shared" si="17"/>
        <v>Department of Medicine/MED-Internal Medicine</v>
      </c>
      <c r="F365" t="s">
        <v>18</v>
      </c>
      <c r="G365" s="2" t="s">
        <v>866</v>
      </c>
      <c r="H365" t="s">
        <v>10</v>
      </c>
      <c r="I365" t="s">
        <v>21</v>
      </c>
      <c r="J365" s="1">
        <v>45466</v>
      </c>
      <c r="K365">
        <v>1</v>
      </c>
      <c r="L365" t="s">
        <v>972</v>
      </c>
      <c r="M365" t="s">
        <v>977</v>
      </c>
      <c r="N365" t="s">
        <v>21</v>
      </c>
      <c r="O365">
        <v>2023</v>
      </c>
      <c r="P365" t="str">
        <f t="shared" si="18"/>
        <v>White</v>
      </c>
      <c r="Q365">
        <v>39.745566599999997</v>
      </c>
      <c r="R365">
        <v>-104.8359873</v>
      </c>
      <c r="S365" t="str">
        <f t="shared" si="16"/>
        <v/>
      </c>
    </row>
    <row r="366" spans="1:19">
      <c r="A366" t="s">
        <v>747</v>
      </c>
      <c r="B366" t="s">
        <v>748</v>
      </c>
      <c r="C366" t="s">
        <v>990</v>
      </c>
      <c r="D366" t="s">
        <v>886</v>
      </c>
      <c r="E366" t="str">
        <f t="shared" si="17"/>
        <v>Department of Anesthesia/ANES-Anesthesiology</v>
      </c>
      <c r="F366" t="s">
        <v>29</v>
      </c>
      <c r="G366" s="2" t="s">
        <v>866</v>
      </c>
      <c r="H366" t="s">
        <v>15</v>
      </c>
      <c r="I366" t="s">
        <v>11</v>
      </c>
      <c r="J366" s="1">
        <v>46203</v>
      </c>
      <c r="K366">
        <v>2</v>
      </c>
      <c r="L366" t="s">
        <v>972</v>
      </c>
      <c r="M366" t="s">
        <v>980</v>
      </c>
      <c r="N366" t="s">
        <v>11</v>
      </c>
      <c r="O366">
        <v>2023</v>
      </c>
      <c r="P366" t="str">
        <f t="shared" si="18"/>
        <v>Asian</v>
      </c>
      <c r="Q366">
        <v>34.064282899999988</v>
      </c>
      <c r="R366">
        <v>-118.44235620000001</v>
      </c>
      <c r="S366" t="str">
        <f t="shared" si="16"/>
        <v/>
      </c>
    </row>
    <row r="367" spans="1:19">
      <c r="A367" t="s">
        <v>92</v>
      </c>
      <c r="B367" t="s">
        <v>93</v>
      </c>
      <c r="C367" t="s">
        <v>989</v>
      </c>
      <c r="D367" t="s">
        <v>937</v>
      </c>
      <c r="E367" t="str">
        <f t="shared" si="17"/>
        <v>Department of Surgery/SURG-Transplantation</v>
      </c>
      <c r="F367" t="s">
        <v>9</v>
      </c>
      <c r="G367" t="s">
        <v>969</v>
      </c>
      <c r="H367" t="s">
        <v>15</v>
      </c>
      <c r="I367" t="s">
        <v>83</v>
      </c>
      <c r="J367" s="1">
        <v>45869</v>
      </c>
      <c r="K367">
        <v>6</v>
      </c>
      <c r="L367" t="s">
        <v>972</v>
      </c>
      <c r="M367" t="s">
        <v>979</v>
      </c>
      <c r="N367" t="s">
        <v>966</v>
      </c>
      <c r="O367">
        <v>2023</v>
      </c>
      <c r="P367" t="str">
        <f t="shared" si="18"/>
        <v>Hispanic or Latino</v>
      </c>
      <c r="Q367">
        <v>40.443128700000003</v>
      </c>
      <c r="R367">
        <v>-79.961324099999999</v>
      </c>
      <c r="S367">
        <f t="shared" si="16"/>
        <v>1</v>
      </c>
    </row>
    <row r="368" spans="1:19">
      <c r="A368" t="s">
        <v>720</v>
      </c>
      <c r="B368" t="s">
        <v>721</v>
      </c>
      <c r="C368" t="s">
        <v>991</v>
      </c>
      <c r="D368" t="s">
        <v>898</v>
      </c>
      <c r="E368" t="str">
        <f t="shared" si="17"/>
        <v>Department of Cardiology/CARD-Cardiovascular Disease</v>
      </c>
      <c r="F368" t="s">
        <v>14</v>
      </c>
      <c r="G368" s="2" t="s">
        <v>865</v>
      </c>
      <c r="H368" t="s">
        <v>15</v>
      </c>
      <c r="I368" t="s">
        <v>96</v>
      </c>
      <c r="J368" s="1">
        <v>45838</v>
      </c>
      <c r="K368">
        <v>5</v>
      </c>
      <c r="L368" t="s">
        <v>972</v>
      </c>
      <c r="M368" t="s">
        <v>982</v>
      </c>
      <c r="N368" t="s">
        <v>966</v>
      </c>
      <c r="O368">
        <v>2023</v>
      </c>
      <c r="P368" t="str">
        <f t="shared" si="18"/>
        <v>Black or African American</v>
      </c>
      <c r="Q368">
        <v>40.841542800000013</v>
      </c>
      <c r="R368">
        <v>-73.94139229999999</v>
      </c>
      <c r="S368">
        <f t="shared" si="16"/>
        <v>1</v>
      </c>
    </row>
    <row r="369" spans="1:19">
      <c r="A369" t="s">
        <v>404</v>
      </c>
      <c r="B369" t="s">
        <v>405</v>
      </c>
      <c r="C369" t="s">
        <v>989</v>
      </c>
      <c r="D369" t="s">
        <v>894</v>
      </c>
      <c r="E369" t="str">
        <f t="shared" si="17"/>
        <v>Department of Surgery/SURG-Otolaryngology Head and Neck Surgery</v>
      </c>
      <c r="F369" t="s">
        <v>29</v>
      </c>
      <c r="G369" s="2" t="s">
        <v>866</v>
      </c>
      <c r="H369" t="s">
        <v>15</v>
      </c>
      <c r="I369" t="s">
        <v>973</v>
      </c>
      <c r="J369" s="1">
        <v>46561</v>
      </c>
      <c r="K369">
        <v>2</v>
      </c>
      <c r="L369" t="s">
        <v>972</v>
      </c>
      <c r="M369" t="s">
        <v>986</v>
      </c>
      <c r="N369" t="s">
        <v>973</v>
      </c>
      <c r="O369">
        <v>2023</v>
      </c>
      <c r="P369" t="str">
        <f t="shared" si="18"/>
        <v>No response/undeclared</v>
      </c>
      <c r="Q369">
        <v>36.005368400000002</v>
      </c>
      <c r="R369">
        <v>-78.938201699999993</v>
      </c>
      <c r="S369" t="str">
        <f t="shared" si="16"/>
        <v/>
      </c>
    </row>
    <row r="370" spans="1:19">
      <c r="A370" t="s">
        <v>223</v>
      </c>
      <c r="B370" t="s">
        <v>224</v>
      </c>
      <c r="C370" t="s">
        <v>989</v>
      </c>
      <c r="D370" t="s">
        <v>889</v>
      </c>
      <c r="E370" t="str">
        <f t="shared" si="17"/>
        <v>Department of Surgery/SURG-Surgery</v>
      </c>
      <c r="F370" t="s">
        <v>225</v>
      </c>
      <c r="G370" s="2" t="s">
        <v>866</v>
      </c>
      <c r="H370" t="s">
        <v>10</v>
      </c>
      <c r="I370" t="s">
        <v>21</v>
      </c>
      <c r="J370" s="1">
        <v>45466</v>
      </c>
      <c r="K370">
        <v>5</v>
      </c>
      <c r="L370" t="s">
        <v>972</v>
      </c>
      <c r="M370" t="s">
        <v>979</v>
      </c>
      <c r="N370" t="s">
        <v>21</v>
      </c>
      <c r="O370">
        <v>2023</v>
      </c>
      <c r="P370" t="str">
        <f t="shared" si="18"/>
        <v>White</v>
      </c>
      <c r="Q370">
        <v>40.443128700000003</v>
      </c>
      <c r="R370">
        <v>-79.961324099999999</v>
      </c>
      <c r="S370" t="str">
        <f t="shared" si="16"/>
        <v/>
      </c>
    </row>
    <row r="371" spans="1:19">
      <c r="A371" t="s">
        <v>661</v>
      </c>
      <c r="B371" t="s">
        <v>463</v>
      </c>
      <c r="C371" t="s">
        <v>997</v>
      </c>
      <c r="D371" t="s">
        <v>888</v>
      </c>
      <c r="E371" t="str">
        <f t="shared" si="17"/>
        <v>Department of Orthopedic Surgery/ORTHO-Orthopaedic Surgery</v>
      </c>
      <c r="F371" t="s">
        <v>225</v>
      </c>
      <c r="G371" s="2" t="s">
        <v>866</v>
      </c>
      <c r="H371" t="s">
        <v>15</v>
      </c>
      <c r="I371" t="s">
        <v>21</v>
      </c>
      <c r="J371" s="1">
        <v>45473</v>
      </c>
      <c r="K371">
        <v>5</v>
      </c>
      <c r="L371" t="s">
        <v>972</v>
      </c>
      <c r="M371" t="s">
        <v>986</v>
      </c>
      <c r="N371" t="s">
        <v>21</v>
      </c>
      <c r="O371">
        <v>2023</v>
      </c>
      <c r="P371" t="str">
        <f t="shared" si="18"/>
        <v>White</v>
      </c>
      <c r="Q371">
        <v>36.005368400000002</v>
      </c>
      <c r="R371">
        <v>-78.938201699999993</v>
      </c>
      <c r="S371" t="str">
        <f t="shared" si="16"/>
        <v/>
      </c>
    </row>
    <row r="372" spans="1:19">
      <c r="A372" t="s">
        <v>781</v>
      </c>
      <c r="B372" t="s">
        <v>782</v>
      </c>
      <c r="C372" t="s">
        <v>988</v>
      </c>
      <c r="D372" t="s">
        <v>901</v>
      </c>
      <c r="E372" t="str">
        <f t="shared" si="17"/>
        <v>Department of Medicine/MED-Endocrinology</v>
      </c>
      <c r="F372" t="s">
        <v>9</v>
      </c>
      <c r="G372" s="2" t="s">
        <v>865</v>
      </c>
      <c r="H372" t="s">
        <v>10</v>
      </c>
      <c r="I372" t="s">
        <v>83</v>
      </c>
      <c r="J372" s="1">
        <v>45838</v>
      </c>
      <c r="K372">
        <v>4</v>
      </c>
      <c r="L372" t="s">
        <v>972</v>
      </c>
      <c r="M372" t="s">
        <v>984</v>
      </c>
      <c r="N372" t="s">
        <v>966</v>
      </c>
      <c r="O372">
        <v>2023</v>
      </c>
      <c r="P372" t="str">
        <f t="shared" si="18"/>
        <v>Hispanic or Latino</v>
      </c>
      <c r="Q372">
        <v>34.061138</v>
      </c>
      <c r="R372">
        <v>-118.2057365</v>
      </c>
      <c r="S372">
        <f t="shared" si="16"/>
        <v>1</v>
      </c>
    </row>
    <row r="373" spans="1:19">
      <c r="A373" t="s">
        <v>390</v>
      </c>
      <c r="B373" t="s">
        <v>391</v>
      </c>
      <c r="C373" t="s">
        <v>988</v>
      </c>
      <c r="D373" t="s">
        <v>887</v>
      </c>
      <c r="E373" t="str">
        <f t="shared" si="17"/>
        <v>Department of Medicine/MED-Internal Medicine</v>
      </c>
      <c r="F373" t="s">
        <v>183</v>
      </c>
      <c r="G373" s="2" t="s">
        <v>866</v>
      </c>
      <c r="H373" t="s">
        <v>15</v>
      </c>
      <c r="I373" t="s">
        <v>21</v>
      </c>
      <c r="J373" s="1">
        <v>45466</v>
      </c>
      <c r="K373">
        <v>3</v>
      </c>
      <c r="L373" t="s">
        <v>972</v>
      </c>
      <c r="M373" t="s">
        <v>978</v>
      </c>
      <c r="N373" t="s">
        <v>21</v>
      </c>
      <c r="O373">
        <v>2023</v>
      </c>
      <c r="P373" t="str">
        <f t="shared" si="18"/>
        <v>White</v>
      </c>
      <c r="Q373">
        <v>33.793635299999998</v>
      </c>
      <c r="R373">
        <v>-84.322179556478247</v>
      </c>
      <c r="S373" t="str">
        <f t="shared" si="16"/>
        <v/>
      </c>
    </row>
    <row r="374" spans="1:19">
      <c r="A374" t="s">
        <v>751</v>
      </c>
      <c r="B374" t="s">
        <v>752</v>
      </c>
      <c r="C374" t="s">
        <v>990</v>
      </c>
      <c r="D374" t="s">
        <v>886</v>
      </c>
      <c r="E374" t="str">
        <f t="shared" si="17"/>
        <v>Department of Anesthesia/ANES-Anesthesiology</v>
      </c>
      <c r="F374" t="s">
        <v>29</v>
      </c>
      <c r="G374" s="2" t="s">
        <v>866</v>
      </c>
      <c r="H374" t="s">
        <v>15</v>
      </c>
      <c r="I374" t="s">
        <v>21</v>
      </c>
      <c r="J374" s="1">
        <v>46203</v>
      </c>
      <c r="K374">
        <v>2</v>
      </c>
      <c r="L374" t="s">
        <v>972</v>
      </c>
      <c r="M374" t="s">
        <v>965</v>
      </c>
      <c r="N374" t="s">
        <v>21</v>
      </c>
      <c r="O374">
        <v>2023</v>
      </c>
      <c r="P374" t="str">
        <f t="shared" si="18"/>
        <v>White</v>
      </c>
      <c r="Q374">
        <v>40.347099999999998</v>
      </c>
      <c r="R374">
        <v>-74.661600000000007</v>
      </c>
      <c r="S374" t="str">
        <f t="shared" si="16"/>
        <v/>
      </c>
    </row>
    <row r="375" spans="1:19">
      <c r="A375" t="s">
        <v>365</v>
      </c>
      <c r="B375" t="s">
        <v>366</v>
      </c>
      <c r="C375" t="s">
        <v>988</v>
      </c>
      <c r="D375" t="s">
        <v>887</v>
      </c>
      <c r="E375" t="str">
        <f t="shared" si="17"/>
        <v>Department of Medicine/MED-Internal Medicine</v>
      </c>
      <c r="F375" t="s">
        <v>183</v>
      </c>
      <c r="G375" s="2" t="s">
        <v>866</v>
      </c>
      <c r="H375" t="s">
        <v>10</v>
      </c>
      <c r="I375" t="s">
        <v>21</v>
      </c>
      <c r="J375" s="1">
        <v>45466</v>
      </c>
      <c r="K375">
        <v>3</v>
      </c>
      <c r="L375" t="s">
        <v>972</v>
      </c>
      <c r="M375" t="s">
        <v>977</v>
      </c>
      <c r="N375" t="s">
        <v>21</v>
      </c>
      <c r="O375">
        <v>2023</v>
      </c>
      <c r="P375" t="str">
        <f t="shared" si="18"/>
        <v>White</v>
      </c>
      <c r="Q375">
        <v>39.745566599999997</v>
      </c>
      <c r="R375">
        <v>-104.8359873</v>
      </c>
      <c r="S375" t="str">
        <f t="shared" si="16"/>
        <v/>
      </c>
    </row>
    <row r="376" spans="1:19">
      <c r="A376" t="s">
        <v>321</v>
      </c>
      <c r="B376" t="s">
        <v>322</v>
      </c>
      <c r="C376" t="s">
        <v>988</v>
      </c>
      <c r="D376" t="s">
        <v>887</v>
      </c>
      <c r="E376" t="str">
        <f t="shared" si="17"/>
        <v>Department of Medicine/MED-Internal Medicine</v>
      </c>
      <c r="F376" t="s">
        <v>18</v>
      </c>
      <c r="G376" s="2" t="s">
        <v>866</v>
      </c>
      <c r="H376" t="s">
        <v>10</v>
      </c>
      <c r="I376" t="s">
        <v>21</v>
      </c>
      <c r="J376" s="1">
        <v>46196</v>
      </c>
      <c r="K376">
        <v>1</v>
      </c>
      <c r="L376" t="s">
        <v>972</v>
      </c>
      <c r="M376" t="s">
        <v>977</v>
      </c>
      <c r="N376" t="s">
        <v>21</v>
      </c>
      <c r="O376">
        <v>2023</v>
      </c>
      <c r="P376" t="str">
        <f t="shared" si="18"/>
        <v>White</v>
      </c>
      <c r="Q376">
        <v>39.745566599999997</v>
      </c>
      <c r="R376">
        <v>-104.8359873</v>
      </c>
      <c r="S376" t="str">
        <f t="shared" si="16"/>
        <v/>
      </c>
    </row>
    <row r="377" spans="1:19">
      <c r="A377" t="s">
        <v>708</v>
      </c>
      <c r="B377" t="s">
        <v>42</v>
      </c>
      <c r="C377" t="s">
        <v>990</v>
      </c>
      <c r="D377" t="s">
        <v>886</v>
      </c>
      <c r="E377" t="str">
        <f t="shared" si="17"/>
        <v>Department of Anesthesia/ANES-Anesthesiology</v>
      </c>
      <c r="F377" t="s">
        <v>183</v>
      </c>
      <c r="G377" s="2" t="s">
        <v>866</v>
      </c>
      <c r="H377" t="s">
        <v>15</v>
      </c>
      <c r="I377" t="s">
        <v>83</v>
      </c>
      <c r="J377" s="1">
        <v>45838</v>
      </c>
      <c r="K377">
        <v>3</v>
      </c>
      <c r="L377" t="s">
        <v>972</v>
      </c>
      <c r="M377" t="s">
        <v>965</v>
      </c>
      <c r="N377" t="s">
        <v>966</v>
      </c>
      <c r="O377">
        <v>2023</v>
      </c>
      <c r="P377" t="str">
        <f t="shared" si="18"/>
        <v>Hispanic or Latino</v>
      </c>
      <c r="Q377">
        <v>40.347099999999998</v>
      </c>
      <c r="R377">
        <v>-74.661600000000007</v>
      </c>
      <c r="S377">
        <f t="shared" si="16"/>
        <v>1</v>
      </c>
    </row>
    <row r="378" spans="1:19">
      <c r="A378" t="s">
        <v>203</v>
      </c>
      <c r="B378" t="s">
        <v>147</v>
      </c>
      <c r="C378" t="s">
        <v>988</v>
      </c>
      <c r="D378" t="s">
        <v>887</v>
      </c>
      <c r="E378" t="str">
        <f t="shared" si="17"/>
        <v>Department of Medicine/MED-Internal Medicine</v>
      </c>
      <c r="F378" t="s">
        <v>168</v>
      </c>
      <c r="G378" t="s">
        <v>969</v>
      </c>
      <c r="H378" t="s">
        <v>15</v>
      </c>
      <c r="I378" t="s">
        <v>21</v>
      </c>
      <c r="J378" s="1" t="s">
        <v>40</v>
      </c>
      <c r="K378" t="s">
        <v>40</v>
      </c>
      <c r="L378" t="s">
        <v>972</v>
      </c>
      <c r="M378" t="s">
        <v>977</v>
      </c>
      <c r="N378" t="s">
        <v>21</v>
      </c>
      <c r="O378">
        <v>2023</v>
      </c>
      <c r="P378" t="str">
        <f t="shared" si="18"/>
        <v>White</v>
      </c>
      <c r="Q378">
        <v>39.745566599999997</v>
      </c>
      <c r="R378">
        <v>-104.8359873</v>
      </c>
      <c r="S378" t="str">
        <f t="shared" si="16"/>
        <v/>
      </c>
    </row>
    <row r="379" spans="1:19">
      <c r="A379" t="s">
        <v>729</v>
      </c>
      <c r="B379" t="s">
        <v>730</v>
      </c>
      <c r="C379" t="s">
        <v>988</v>
      </c>
      <c r="D379" t="s">
        <v>956</v>
      </c>
      <c r="E379" t="str">
        <f t="shared" si="17"/>
        <v>Department of Medicine/MED-Pulmonary/Critical Care Medicine</v>
      </c>
      <c r="F379" t="s">
        <v>14</v>
      </c>
      <c r="G379" s="2" t="s">
        <v>865</v>
      </c>
      <c r="H379" t="s">
        <v>15</v>
      </c>
      <c r="I379" t="s">
        <v>21</v>
      </c>
      <c r="J379" s="1">
        <v>45838</v>
      </c>
      <c r="K379">
        <v>5</v>
      </c>
      <c r="L379" t="s">
        <v>972</v>
      </c>
      <c r="M379" t="s">
        <v>978</v>
      </c>
      <c r="N379" t="s">
        <v>21</v>
      </c>
      <c r="O379">
        <v>2023</v>
      </c>
      <c r="P379" t="str">
        <f t="shared" si="18"/>
        <v>White</v>
      </c>
      <c r="Q379">
        <v>33.793635299999998</v>
      </c>
      <c r="R379">
        <v>-84.322179556478247</v>
      </c>
      <c r="S379" t="str">
        <f t="shared" si="16"/>
        <v/>
      </c>
    </row>
    <row r="380" spans="1:19">
      <c r="A380" t="s">
        <v>711</v>
      </c>
      <c r="B380" t="s">
        <v>712</v>
      </c>
      <c r="C380" t="s">
        <v>989</v>
      </c>
      <c r="D380" t="s">
        <v>885</v>
      </c>
      <c r="E380" t="str">
        <f t="shared" si="17"/>
        <v>Department of Surgery/SURG-Vascular Surgery</v>
      </c>
      <c r="F380" t="s">
        <v>14</v>
      </c>
      <c r="G380" s="2" t="s">
        <v>865</v>
      </c>
      <c r="H380" t="s">
        <v>10</v>
      </c>
      <c r="I380" t="s">
        <v>973</v>
      </c>
      <c r="J380" s="1">
        <v>45473</v>
      </c>
      <c r="K380">
        <v>7</v>
      </c>
      <c r="L380" t="s">
        <v>972</v>
      </c>
      <c r="M380" t="s">
        <v>979</v>
      </c>
      <c r="N380" t="s">
        <v>973</v>
      </c>
      <c r="O380">
        <v>2023</v>
      </c>
      <c r="P380" t="str">
        <f t="shared" si="18"/>
        <v>No response/undeclared</v>
      </c>
      <c r="Q380">
        <v>40.443128700000003</v>
      </c>
      <c r="R380">
        <v>-79.961324099999999</v>
      </c>
      <c r="S380" t="str">
        <f t="shared" si="16"/>
        <v/>
      </c>
    </row>
    <row r="381" spans="1:19">
      <c r="A381" t="s">
        <v>196</v>
      </c>
      <c r="B381" t="s">
        <v>197</v>
      </c>
      <c r="C381" t="s">
        <v>990</v>
      </c>
      <c r="D381" t="s">
        <v>886</v>
      </c>
      <c r="E381" t="str">
        <f t="shared" si="17"/>
        <v>Department of Anesthesia/ANES-Anesthesiology</v>
      </c>
      <c r="F381" t="s">
        <v>29</v>
      </c>
      <c r="G381" s="2" t="s">
        <v>866</v>
      </c>
      <c r="H381" t="s">
        <v>15</v>
      </c>
      <c r="I381" t="s">
        <v>21</v>
      </c>
      <c r="J381" s="1">
        <v>46203</v>
      </c>
      <c r="K381">
        <v>2</v>
      </c>
      <c r="L381" t="s">
        <v>972</v>
      </c>
      <c r="M381" t="s">
        <v>965</v>
      </c>
      <c r="N381" t="s">
        <v>21</v>
      </c>
      <c r="O381">
        <v>2023</v>
      </c>
      <c r="P381" t="str">
        <f t="shared" si="18"/>
        <v>White</v>
      </c>
      <c r="Q381">
        <v>40.347099999999998</v>
      </c>
      <c r="R381">
        <v>-74.661600000000007</v>
      </c>
      <c r="S381" t="str">
        <f t="shared" si="16"/>
        <v/>
      </c>
    </row>
    <row r="382" spans="1:19">
      <c r="A382" t="s">
        <v>821</v>
      </c>
      <c r="B382" t="s">
        <v>822</v>
      </c>
      <c r="C382" t="s">
        <v>994</v>
      </c>
      <c r="D382" t="s">
        <v>923</v>
      </c>
      <c r="E382" t="str">
        <f t="shared" si="17"/>
        <v>Department of Pathology/PATH-Gastrointestinal &amp; Liver</v>
      </c>
      <c r="F382" t="s">
        <v>9</v>
      </c>
      <c r="G382" s="2" t="s">
        <v>865</v>
      </c>
      <c r="H382" t="s">
        <v>15</v>
      </c>
      <c r="I382" t="s">
        <v>11</v>
      </c>
      <c r="J382" s="1">
        <v>45473</v>
      </c>
      <c r="K382">
        <v>5</v>
      </c>
      <c r="L382" t="s">
        <v>972</v>
      </c>
      <c r="M382" t="s">
        <v>986</v>
      </c>
      <c r="N382" t="s">
        <v>11</v>
      </c>
      <c r="O382">
        <v>2023</v>
      </c>
      <c r="P382" t="str">
        <f t="shared" si="18"/>
        <v>Asian</v>
      </c>
      <c r="Q382">
        <v>36.005368400000002</v>
      </c>
      <c r="R382">
        <v>-78.938201699999993</v>
      </c>
      <c r="S382" t="str">
        <f t="shared" si="16"/>
        <v/>
      </c>
    </row>
    <row r="383" spans="1:19">
      <c r="A383" t="s">
        <v>137</v>
      </c>
      <c r="B383" t="s">
        <v>138</v>
      </c>
      <c r="C383" t="s">
        <v>990</v>
      </c>
      <c r="D383" t="s">
        <v>954</v>
      </c>
      <c r="E383" t="str">
        <f t="shared" si="17"/>
        <v>Department of Anesthesia/ANES-Regional Anesthesia/Acute Pain Management</v>
      </c>
      <c r="F383" t="s">
        <v>9</v>
      </c>
      <c r="G383" s="2" t="s">
        <v>865</v>
      </c>
      <c r="H383" t="s">
        <v>15</v>
      </c>
      <c r="I383" t="s">
        <v>139</v>
      </c>
      <c r="J383" s="1">
        <v>45504</v>
      </c>
      <c r="K383">
        <v>5</v>
      </c>
      <c r="L383" t="s">
        <v>972</v>
      </c>
      <c r="M383" t="s">
        <v>982</v>
      </c>
      <c r="N383" t="s">
        <v>966</v>
      </c>
      <c r="O383">
        <v>2023</v>
      </c>
      <c r="P383" t="str">
        <f t="shared" si="18"/>
        <v>Asian, Hispanic or Latino</v>
      </c>
      <c r="Q383">
        <v>40.841542800000013</v>
      </c>
      <c r="R383">
        <v>-73.94139229999999</v>
      </c>
      <c r="S383">
        <f t="shared" si="16"/>
        <v>1</v>
      </c>
    </row>
    <row r="384" spans="1:19">
      <c r="A384" t="s">
        <v>658</v>
      </c>
      <c r="B384" t="s">
        <v>659</v>
      </c>
      <c r="C384" t="s">
        <v>988</v>
      </c>
      <c r="D384" t="s">
        <v>903</v>
      </c>
      <c r="E384" t="str">
        <f t="shared" si="17"/>
        <v>Department of Medicine/MED-Gastroenterology</v>
      </c>
      <c r="F384" t="s">
        <v>14</v>
      </c>
      <c r="G384" s="2" t="s">
        <v>865</v>
      </c>
      <c r="H384" t="s">
        <v>15</v>
      </c>
      <c r="I384" t="s">
        <v>80</v>
      </c>
      <c r="J384" s="1">
        <v>45838</v>
      </c>
      <c r="K384">
        <v>4</v>
      </c>
      <c r="L384" t="s">
        <v>972</v>
      </c>
      <c r="M384" t="s">
        <v>984</v>
      </c>
      <c r="N384" t="s">
        <v>80</v>
      </c>
      <c r="O384">
        <v>2023</v>
      </c>
      <c r="P384" t="str">
        <f t="shared" si="18"/>
        <v>Other</v>
      </c>
      <c r="Q384">
        <v>34.061138</v>
      </c>
      <c r="R384">
        <v>-118.2057365</v>
      </c>
      <c r="S384" t="str">
        <f t="shared" si="16"/>
        <v/>
      </c>
    </row>
    <row r="385" spans="1:19">
      <c r="A385" t="s">
        <v>446</v>
      </c>
      <c r="B385" t="s">
        <v>447</v>
      </c>
      <c r="C385" t="s">
        <v>988</v>
      </c>
      <c r="D385" t="s">
        <v>887</v>
      </c>
      <c r="E385" t="str">
        <f t="shared" si="17"/>
        <v>Department of Medicine/MED-Internal Medicine</v>
      </c>
      <c r="F385" t="s">
        <v>29</v>
      </c>
      <c r="G385" s="2" t="s">
        <v>866</v>
      </c>
      <c r="H385" t="s">
        <v>15</v>
      </c>
      <c r="I385" t="s">
        <v>11</v>
      </c>
      <c r="J385" s="1">
        <v>45831</v>
      </c>
      <c r="K385">
        <v>2</v>
      </c>
      <c r="L385" t="s">
        <v>972</v>
      </c>
      <c r="M385" t="s">
        <v>977</v>
      </c>
      <c r="N385" t="s">
        <v>11</v>
      </c>
      <c r="O385">
        <v>2023</v>
      </c>
      <c r="P385" t="str">
        <f t="shared" si="18"/>
        <v>Asian</v>
      </c>
      <c r="Q385">
        <v>39.745566599999997</v>
      </c>
      <c r="R385">
        <v>-104.8359873</v>
      </c>
      <c r="S385" t="str">
        <f t="shared" si="16"/>
        <v/>
      </c>
    </row>
    <row r="386" spans="1:19">
      <c r="A386" t="s">
        <v>56</v>
      </c>
      <c r="B386" t="s">
        <v>477</v>
      </c>
      <c r="C386" t="s">
        <v>988</v>
      </c>
      <c r="D386" t="s">
        <v>887</v>
      </c>
      <c r="E386" t="str">
        <f t="shared" si="17"/>
        <v>Department of Medicine/MED-Internal Medicine</v>
      </c>
      <c r="F386" t="s">
        <v>29</v>
      </c>
      <c r="G386" s="2" t="s">
        <v>866</v>
      </c>
      <c r="H386" t="s">
        <v>15</v>
      </c>
      <c r="I386" t="s">
        <v>11</v>
      </c>
      <c r="J386" s="1">
        <v>45831</v>
      </c>
      <c r="K386">
        <v>2</v>
      </c>
      <c r="L386" t="s">
        <v>972</v>
      </c>
      <c r="M386" t="s">
        <v>977</v>
      </c>
      <c r="N386" t="s">
        <v>11</v>
      </c>
      <c r="O386">
        <v>2023</v>
      </c>
      <c r="P386" t="str">
        <f t="shared" si="18"/>
        <v>Asian</v>
      </c>
      <c r="Q386">
        <v>39.745566599999997</v>
      </c>
      <c r="R386">
        <v>-104.8359873</v>
      </c>
      <c r="S386" t="str">
        <f t="shared" ref="S386:S449" si="19">IF(N386="URM",1,"")</f>
        <v/>
      </c>
    </row>
    <row r="387" spans="1:19">
      <c r="A387" t="s">
        <v>56</v>
      </c>
      <c r="B387" t="s">
        <v>57</v>
      </c>
      <c r="C387" t="s">
        <v>999</v>
      </c>
      <c r="D387" t="s">
        <v>929</v>
      </c>
      <c r="E387" t="str">
        <f t="shared" ref="E387:E450" si="20">C387&amp;"/"&amp;D387</f>
        <v>Department of Urology/URO-Gender Affirming Reconstructive Surgery &amp; Sexu</v>
      </c>
      <c r="F387" t="s">
        <v>14</v>
      </c>
      <c r="G387" t="s">
        <v>969</v>
      </c>
      <c r="H387" t="s">
        <v>15</v>
      </c>
      <c r="I387" t="s">
        <v>11</v>
      </c>
      <c r="J387" s="1">
        <v>45596</v>
      </c>
      <c r="K387">
        <v>6</v>
      </c>
      <c r="L387" t="s">
        <v>972</v>
      </c>
      <c r="M387" t="s">
        <v>979</v>
      </c>
      <c r="N387" t="s">
        <v>11</v>
      </c>
      <c r="O387">
        <v>2023</v>
      </c>
      <c r="P387" t="str">
        <f t="shared" ref="P387:P450" si="21">I387</f>
        <v>Asian</v>
      </c>
      <c r="Q387">
        <v>40.443128700000003</v>
      </c>
      <c r="R387">
        <v>-79.961324099999999</v>
      </c>
      <c r="S387" t="str">
        <f t="shared" si="19"/>
        <v/>
      </c>
    </row>
    <row r="388" spans="1:19">
      <c r="A388" t="s">
        <v>670</v>
      </c>
      <c r="B388" t="s">
        <v>671</v>
      </c>
      <c r="C388" t="s">
        <v>988</v>
      </c>
      <c r="D388" t="s">
        <v>956</v>
      </c>
      <c r="E388" t="str">
        <f t="shared" si="20"/>
        <v>Department of Medicine/MED-Pulmonary/Critical Care Medicine</v>
      </c>
      <c r="F388" t="s">
        <v>9</v>
      </c>
      <c r="G388" s="2" t="s">
        <v>865</v>
      </c>
      <c r="H388" t="s">
        <v>10</v>
      </c>
      <c r="I388" t="s">
        <v>973</v>
      </c>
      <c r="J388" s="1">
        <v>46203</v>
      </c>
      <c r="K388">
        <v>4</v>
      </c>
      <c r="L388" t="s">
        <v>972</v>
      </c>
      <c r="M388" t="s">
        <v>978</v>
      </c>
      <c r="N388" t="s">
        <v>973</v>
      </c>
      <c r="O388">
        <v>2023</v>
      </c>
      <c r="P388" t="str">
        <f t="shared" si="21"/>
        <v>No response/undeclared</v>
      </c>
      <c r="Q388">
        <v>33.793635299999998</v>
      </c>
      <c r="R388">
        <v>-84.322179556478247</v>
      </c>
      <c r="S388" t="str">
        <f t="shared" si="19"/>
        <v/>
      </c>
    </row>
    <row r="389" spans="1:19">
      <c r="A389" t="s">
        <v>556</v>
      </c>
      <c r="B389" t="s">
        <v>557</v>
      </c>
      <c r="C389" t="s">
        <v>988</v>
      </c>
      <c r="D389" t="s">
        <v>887</v>
      </c>
      <c r="E389" t="str">
        <f t="shared" si="20"/>
        <v>Department of Medicine/MED-Internal Medicine</v>
      </c>
      <c r="F389" t="s">
        <v>18</v>
      </c>
      <c r="G389" s="2" t="s">
        <v>866</v>
      </c>
      <c r="H389" t="s">
        <v>15</v>
      </c>
      <c r="I389" t="s">
        <v>21</v>
      </c>
      <c r="J389" s="1">
        <v>46196</v>
      </c>
      <c r="K389">
        <v>1</v>
      </c>
      <c r="L389" t="s">
        <v>972</v>
      </c>
      <c r="M389" t="s">
        <v>978</v>
      </c>
      <c r="N389" t="s">
        <v>21</v>
      </c>
      <c r="O389">
        <v>2023</v>
      </c>
      <c r="P389" t="str">
        <f t="shared" si="21"/>
        <v>White</v>
      </c>
      <c r="Q389">
        <v>33.793635299999998</v>
      </c>
      <c r="R389">
        <v>-84.322179556478247</v>
      </c>
      <c r="S389" t="str">
        <f t="shared" si="19"/>
        <v/>
      </c>
    </row>
    <row r="390" spans="1:19">
      <c r="A390" t="s">
        <v>763</v>
      </c>
      <c r="B390" t="s">
        <v>339</v>
      </c>
      <c r="C390" t="s">
        <v>997</v>
      </c>
      <c r="D390" t="s">
        <v>888</v>
      </c>
      <c r="E390" t="str">
        <f t="shared" si="20"/>
        <v>Department of Orthopedic Surgery/ORTHO-Orthopaedic Surgery</v>
      </c>
      <c r="F390" t="s">
        <v>29</v>
      </c>
      <c r="G390" s="2" t="s">
        <v>866</v>
      </c>
      <c r="H390" t="s">
        <v>10</v>
      </c>
      <c r="I390" t="s">
        <v>21</v>
      </c>
      <c r="J390" s="1">
        <v>46568</v>
      </c>
      <c r="K390">
        <v>2</v>
      </c>
      <c r="L390" t="s">
        <v>972</v>
      </c>
      <c r="M390" t="s">
        <v>983</v>
      </c>
      <c r="N390" t="s">
        <v>21</v>
      </c>
      <c r="O390">
        <v>2023</v>
      </c>
      <c r="P390" t="str">
        <f t="shared" si="21"/>
        <v>White</v>
      </c>
      <c r="Q390">
        <v>32.874409200000002</v>
      </c>
      <c r="R390">
        <v>-117.23611849678871</v>
      </c>
      <c r="S390" t="str">
        <f t="shared" si="19"/>
        <v/>
      </c>
    </row>
    <row r="391" spans="1:19">
      <c r="A391" t="s">
        <v>459</v>
      </c>
      <c r="B391" t="s">
        <v>352</v>
      </c>
      <c r="C391" t="s">
        <v>988</v>
      </c>
      <c r="D391" t="s">
        <v>887</v>
      </c>
      <c r="E391" t="str">
        <f t="shared" si="20"/>
        <v>Department of Medicine/MED-Internal Medicine</v>
      </c>
      <c r="F391" t="s">
        <v>29</v>
      </c>
      <c r="G391" s="2" t="s">
        <v>866</v>
      </c>
      <c r="H391" t="s">
        <v>10</v>
      </c>
      <c r="I391" t="s">
        <v>21</v>
      </c>
      <c r="J391" s="1">
        <v>45831</v>
      </c>
      <c r="K391">
        <v>2</v>
      </c>
      <c r="L391" t="s">
        <v>972</v>
      </c>
      <c r="M391" t="s">
        <v>977</v>
      </c>
      <c r="N391" t="s">
        <v>21</v>
      </c>
      <c r="O391">
        <v>2023</v>
      </c>
      <c r="P391" t="str">
        <f t="shared" si="21"/>
        <v>White</v>
      </c>
      <c r="Q391">
        <v>39.745566599999997</v>
      </c>
      <c r="R391">
        <v>-104.8359873</v>
      </c>
      <c r="S391" t="str">
        <f t="shared" si="19"/>
        <v/>
      </c>
    </row>
    <row r="392" spans="1:19">
      <c r="A392" t="s">
        <v>153</v>
      </c>
      <c r="B392" t="s">
        <v>154</v>
      </c>
      <c r="C392" t="s">
        <v>996</v>
      </c>
      <c r="D392" t="s">
        <v>959</v>
      </c>
      <c r="E392" t="str">
        <f t="shared" si="20"/>
        <v>Department of Obstetrics &amp; Gynecology/OB/GYN-Minimally Invasive Gynecologic Surgery</v>
      </c>
      <c r="F392" t="s">
        <v>9</v>
      </c>
      <c r="G392" t="s">
        <v>969</v>
      </c>
      <c r="H392" t="s">
        <v>10</v>
      </c>
      <c r="I392" t="s">
        <v>21</v>
      </c>
      <c r="J392" s="1">
        <v>46234</v>
      </c>
      <c r="K392">
        <v>5</v>
      </c>
      <c r="L392" t="s">
        <v>972</v>
      </c>
      <c r="M392" t="s">
        <v>983</v>
      </c>
      <c r="N392" t="s">
        <v>21</v>
      </c>
      <c r="O392">
        <v>2023</v>
      </c>
      <c r="P392" t="str">
        <f t="shared" si="21"/>
        <v>White</v>
      </c>
      <c r="Q392">
        <v>32.874409200000002</v>
      </c>
      <c r="R392">
        <v>-117.23611849678871</v>
      </c>
      <c r="S392" t="str">
        <f t="shared" si="19"/>
        <v/>
      </c>
    </row>
    <row r="393" spans="1:19">
      <c r="A393" t="s">
        <v>212</v>
      </c>
      <c r="B393" t="s">
        <v>213</v>
      </c>
      <c r="C393" t="s">
        <v>994</v>
      </c>
      <c r="D393" t="s">
        <v>946</v>
      </c>
      <c r="E393" t="str">
        <f t="shared" si="20"/>
        <v>Department of Pathology/PATH-Transfusion Medicine</v>
      </c>
      <c r="F393" t="s">
        <v>9</v>
      </c>
      <c r="G393" s="2" t="s">
        <v>865</v>
      </c>
      <c r="H393" t="s">
        <v>10</v>
      </c>
      <c r="I393" t="s">
        <v>21</v>
      </c>
      <c r="J393" s="1">
        <v>45473</v>
      </c>
      <c r="K393">
        <v>4</v>
      </c>
      <c r="L393" t="s">
        <v>972</v>
      </c>
      <c r="M393" t="s">
        <v>986</v>
      </c>
      <c r="N393" t="s">
        <v>21</v>
      </c>
      <c r="O393">
        <v>2023</v>
      </c>
      <c r="P393" t="str">
        <f t="shared" si="21"/>
        <v>White</v>
      </c>
      <c r="Q393">
        <v>36.005368400000002</v>
      </c>
      <c r="R393">
        <v>-78.938201699999993</v>
      </c>
      <c r="S393" t="str">
        <f t="shared" si="19"/>
        <v/>
      </c>
    </row>
    <row r="394" spans="1:19">
      <c r="A394" t="s">
        <v>767</v>
      </c>
      <c r="B394" t="s">
        <v>768</v>
      </c>
      <c r="C394" t="s">
        <v>993</v>
      </c>
      <c r="D394" t="s">
        <v>917</v>
      </c>
      <c r="E394" t="str">
        <f t="shared" si="20"/>
        <v>Department of Neurology/NEURO-Neurology</v>
      </c>
      <c r="F394" t="s">
        <v>18</v>
      </c>
      <c r="G394" s="2" t="s">
        <v>866</v>
      </c>
      <c r="H394" t="s">
        <v>15</v>
      </c>
      <c r="I394" t="s">
        <v>11</v>
      </c>
      <c r="J394" s="1">
        <v>46203</v>
      </c>
      <c r="K394">
        <v>2</v>
      </c>
      <c r="L394" t="s">
        <v>972</v>
      </c>
      <c r="M394" t="s">
        <v>978</v>
      </c>
      <c r="N394" t="s">
        <v>11</v>
      </c>
      <c r="O394">
        <v>2023</v>
      </c>
      <c r="P394" t="str">
        <f t="shared" si="21"/>
        <v>Asian</v>
      </c>
      <c r="Q394">
        <v>33.793635299999998</v>
      </c>
      <c r="R394">
        <v>-84.322179556478247</v>
      </c>
      <c r="S394" t="str">
        <f t="shared" si="19"/>
        <v/>
      </c>
    </row>
    <row r="395" spans="1:19">
      <c r="A395" t="s">
        <v>818</v>
      </c>
      <c r="B395" t="s">
        <v>819</v>
      </c>
      <c r="C395" t="s">
        <v>988</v>
      </c>
      <c r="D395" t="s">
        <v>892</v>
      </c>
      <c r="E395" t="str">
        <f t="shared" si="20"/>
        <v>Department of Medicine/MED-Rheumatology</v>
      </c>
      <c r="F395" t="s">
        <v>9</v>
      </c>
      <c r="G395" s="2" t="s">
        <v>865</v>
      </c>
      <c r="H395" t="s">
        <v>10</v>
      </c>
      <c r="I395" t="s">
        <v>11</v>
      </c>
      <c r="J395" s="1">
        <v>45838</v>
      </c>
      <c r="K395">
        <v>3</v>
      </c>
      <c r="L395" t="s">
        <v>972</v>
      </c>
      <c r="M395" t="s">
        <v>978</v>
      </c>
      <c r="N395" t="s">
        <v>11</v>
      </c>
      <c r="O395">
        <v>2023</v>
      </c>
      <c r="P395" t="str">
        <f t="shared" si="21"/>
        <v>Asian</v>
      </c>
      <c r="Q395">
        <v>33.793635299999998</v>
      </c>
      <c r="R395">
        <v>-84.322179556478247</v>
      </c>
      <c r="S395" t="str">
        <f t="shared" si="19"/>
        <v/>
      </c>
    </row>
    <row r="396" spans="1:19">
      <c r="A396" t="s">
        <v>305</v>
      </c>
      <c r="B396" t="s">
        <v>306</v>
      </c>
      <c r="C396" t="s">
        <v>988</v>
      </c>
      <c r="D396" t="s">
        <v>887</v>
      </c>
      <c r="E396" t="str">
        <f t="shared" si="20"/>
        <v>Department of Medicine/MED-Internal Medicine</v>
      </c>
      <c r="F396" t="s">
        <v>29</v>
      </c>
      <c r="G396" s="2" t="s">
        <v>866</v>
      </c>
      <c r="H396" t="s">
        <v>10</v>
      </c>
      <c r="I396" t="s">
        <v>11</v>
      </c>
      <c r="J396" s="1">
        <v>45831</v>
      </c>
      <c r="K396">
        <v>2</v>
      </c>
      <c r="L396" t="s">
        <v>972</v>
      </c>
      <c r="M396" t="s">
        <v>981</v>
      </c>
      <c r="N396" t="s">
        <v>11</v>
      </c>
      <c r="O396">
        <v>2023</v>
      </c>
      <c r="P396" t="str">
        <f t="shared" si="21"/>
        <v>Asian</v>
      </c>
      <c r="Q396">
        <v>42.336831850000003</v>
      </c>
      <c r="R396">
        <v>-71.103809211180575</v>
      </c>
      <c r="S396" t="str">
        <f t="shared" si="19"/>
        <v/>
      </c>
    </row>
    <row r="397" spans="1:19">
      <c r="A397" t="s">
        <v>609</v>
      </c>
      <c r="B397" t="s">
        <v>610</v>
      </c>
      <c r="C397" t="s">
        <v>992</v>
      </c>
      <c r="D397" t="s">
        <v>915</v>
      </c>
      <c r="E397" t="str">
        <f t="shared" si="20"/>
        <v>Department of Cardiac Surgery/CARDSURG-Thoracic Surgery-Integrated</v>
      </c>
      <c r="F397" t="s">
        <v>74</v>
      </c>
      <c r="G397" s="2" t="s">
        <v>866</v>
      </c>
      <c r="H397" t="s">
        <v>15</v>
      </c>
      <c r="I397" t="s">
        <v>21</v>
      </c>
      <c r="J397" s="1">
        <v>46203</v>
      </c>
      <c r="K397">
        <v>4</v>
      </c>
      <c r="L397" t="s">
        <v>972</v>
      </c>
      <c r="M397" t="s">
        <v>984</v>
      </c>
      <c r="N397" t="s">
        <v>21</v>
      </c>
      <c r="O397">
        <v>2023</v>
      </c>
      <c r="P397" t="str">
        <f t="shared" si="21"/>
        <v>White</v>
      </c>
      <c r="Q397">
        <v>34.061138</v>
      </c>
      <c r="R397">
        <v>-118.2057365</v>
      </c>
      <c r="S397" t="str">
        <f t="shared" si="19"/>
        <v/>
      </c>
    </row>
    <row r="398" spans="1:19">
      <c r="A398" t="s">
        <v>431</v>
      </c>
      <c r="B398" t="s">
        <v>432</v>
      </c>
      <c r="C398" t="s">
        <v>988</v>
      </c>
      <c r="D398" t="s">
        <v>887</v>
      </c>
      <c r="E398" t="str">
        <f t="shared" si="20"/>
        <v>Department of Medicine/MED-Internal Medicine</v>
      </c>
      <c r="F398" t="s">
        <v>183</v>
      </c>
      <c r="G398" s="2" t="s">
        <v>866</v>
      </c>
      <c r="H398" t="s">
        <v>10</v>
      </c>
      <c r="I398" t="s">
        <v>47</v>
      </c>
      <c r="J398" s="1">
        <v>45466</v>
      </c>
      <c r="K398">
        <v>3</v>
      </c>
      <c r="L398" t="s">
        <v>972</v>
      </c>
      <c r="M398" t="s">
        <v>977</v>
      </c>
      <c r="N398" t="s">
        <v>80</v>
      </c>
      <c r="O398">
        <v>2023</v>
      </c>
      <c r="P398" t="s">
        <v>80</v>
      </c>
      <c r="Q398">
        <v>39.745566599999997</v>
      </c>
      <c r="R398">
        <v>-104.8359873</v>
      </c>
      <c r="S398" t="str">
        <f t="shared" si="19"/>
        <v/>
      </c>
    </row>
    <row r="399" spans="1:19">
      <c r="A399" t="s">
        <v>45</v>
      </c>
      <c r="B399" t="s">
        <v>46</v>
      </c>
      <c r="C399" t="s">
        <v>997</v>
      </c>
      <c r="D399" t="s">
        <v>944</v>
      </c>
      <c r="E399" t="str">
        <f t="shared" si="20"/>
        <v>Department of Orthopedic Surgery/ORTHO-Spinal Disorders</v>
      </c>
      <c r="F399" t="s">
        <v>9</v>
      </c>
      <c r="G399" t="s">
        <v>969</v>
      </c>
      <c r="H399" t="s">
        <v>15</v>
      </c>
      <c r="I399" t="s">
        <v>47</v>
      </c>
      <c r="J399" s="1">
        <v>45504</v>
      </c>
      <c r="K399">
        <v>6</v>
      </c>
      <c r="L399" t="s">
        <v>972</v>
      </c>
      <c r="M399" t="s">
        <v>986</v>
      </c>
      <c r="N399" t="s">
        <v>80</v>
      </c>
      <c r="O399">
        <v>2023</v>
      </c>
      <c r="P399" t="s">
        <v>80</v>
      </c>
      <c r="Q399">
        <v>36.005368400000002</v>
      </c>
      <c r="R399">
        <v>-78.938201699999993</v>
      </c>
      <c r="S399" t="str">
        <f t="shared" si="19"/>
        <v/>
      </c>
    </row>
    <row r="400" spans="1:19">
      <c r="A400" t="s">
        <v>146</v>
      </c>
      <c r="B400" t="s">
        <v>147</v>
      </c>
      <c r="C400" t="s">
        <v>990</v>
      </c>
      <c r="D400" t="s">
        <v>920</v>
      </c>
      <c r="E400" t="str">
        <f t="shared" si="20"/>
        <v>Department of Anesthesia/ANES-Adult Cardiothoracic Anesthesiology</v>
      </c>
      <c r="F400" t="s">
        <v>9</v>
      </c>
      <c r="G400" s="2" t="s">
        <v>865</v>
      </c>
      <c r="H400" t="s">
        <v>15</v>
      </c>
      <c r="I400" t="s">
        <v>11</v>
      </c>
      <c r="J400" s="1">
        <v>45504</v>
      </c>
      <c r="K400">
        <v>5</v>
      </c>
      <c r="L400" t="s">
        <v>972</v>
      </c>
      <c r="M400" t="s">
        <v>985</v>
      </c>
      <c r="N400" t="s">
        <v>11</v>
      </c>
      <c r="O400">
        <v>2023</v>
      </c>
      <c r="P400" t="str">
        <f t="shared" si="21"/>
        <v>Asian</v>
      </c>
      <c r="Q400">
        <v>37.4582762</v>
      </c>
      <c r="R400">
        <v>-122.1739822</v>
      </c>
      <c r="S400" t="str">
        <f t="shared" si="19"/>
        <v/>
      </c>
    </row>
    <row r="401" spans="1:19">
      <c r="A401" t="s">
        <v>170</v>
      </c>
      <c r="B401" t="s">
        <v>608</v>
      </c>
      <c r="C401" t="s">
        <v>991</v>
      </c>
      <c r="D401" t="s">
        <v>898</v>
      </c>
      <c r="E401" t="str">
        <f t="shared" si="20"/>
        <v>Department of Cardiology/CARD-Cardiovascular Disease</v>
      </c>
      <c r="F401" t="s">
        <v>152</v>
      </c>
      <c r="G401" s="2" t="s">
        <v>865</v>
      </c>
      <c r="H401" t="s">
        <v>15</v>
      </c>
      <c r="I401" t="s">
        <v>11</v>
      </c>
      <c r="J401" s="1">
        <v>45473</v>
      </c>
      <c r="K401">
        <v>6</v>
      </c>
      <c r="L401" t="s">
        <v>972</v>
      </c>
      <c r="M401" t="s">
        <v>982</v>
      </c>
      <c r="N401" t="s">
        <v>11</v>
      </c>
      <c r="O401">
        <v>2023</v>
      </c>
      <c r="P401" t="str">
        <f t="shared" si="21"/>
        <v>Asian</v>
      </c>
      <c r="Q401">
        <v>40.841542800000013</v>
      </c>
      <c r="R401">
        <v>-73.94139229999999</v>
      </c>
      <c r="S401" t="str">
        <f t="shared" si="19"/>
        <v/>
      </c>
    </row>
    <row r="402" spans="1:19">
      <c r="A402" t="s">
        <v>170</v>
      </c>
      <c r="B402" t="s">
        <v>171</v>
      </c>
      <c r="C402" t="s">
        <v>988</v>
      </c>
      <c r="D402" t="s">
        <v>902</v>
      </c>
      <c r="E402" t="str">
        <f t="shared" si="20"/>
        <v>Department of Medicine/MED-Gastro-Transplant Hepatology</v>
      </c>
      <c r="F402" t="s">
        <v>9</v>
      </c>
      <c r="G402" s="2" t="s">
        <v>865</v>
      </c>
      <c r="H402" t="s">
        <v>10</v>
      </c>
      <c r="I402" t="s">
        <v>11</v>
      </c>
      <c r="J402" s="1">
        <v>45489</v>
      </c>
      <c r="K402">
        <v>7</v>
      </c>
      <c r="L402" t="s">
        <v>972</v>
      </c>
      <c r="M402" t="s">
        <v>984</v>
      </c>
      <c r="N402" t="s">
        <v>11</v>
      </c>
      <c r="O402">
        <v>2023</v>
      </c>
      <c r="P402" t="str">
        <f t="shared" si="21"/>
        <v>Asian</v>
      </c>
      <c r="Q402">
        <v>34.061138</v>
      </c>
      <c r="R402">
        <v>-118.2057365</v>
      </c>
      <c r="S402" t="str">
        <f t="shared" si="19"/>
        <v/>
      </c>
    </row>
    <row r="403" spans="1:19">
      <c r="A403" t="s">
        <v>170</v>
      </c>
      <c r="B403" t="s">
        <v>397</v>
      </c>
      <c r="C403" t="s">
        <v>988</v>
      </c>
      <c r="D403" t="s">
        <v>887</v>
      </c>
      <c r="E403" t="str">
        <f t="shared" si="20"/>
        <v>Department of Medicine/MED-Internal Medicine</v>
      </c>
      <c r="F403" t="s">
        <v>183</v>
      </c>
      <c r="G403" s="2" t="s">
        <v>866</v>
      </c>
      <c r="H403" t="s">
        <v>15</v>
      </c>
      <c r="I403" t="s">
        <v>398</v>
      </c>
      <c r="J403" s="1">
        <v>45466</v>
      </c>
      <c r="K403">
        <v>3</v>
      </c>
      <c r="L403" t="s">
        <v>972</v>
      </c>
      <c r="M403" t="s">
        <v>977</v>
      </c>
      <c r="N403" t="s">
        <v>11</v>
      </c>
      <c r="O403">
        <v>2023</v>
      </c>
      <c r="P403" t="s">
        <v>80</v>
      </c>
      <c r="Q403">
        <v>39.745566599999997</v>
      </c>
      <c r="R403">
        <v>-104.8359873</v>
      </c>
      <c r="S403" t="str">
        <f t="shared" si="19"/>
        <v/>
      </c>
    </row>
    <row r="404" spans="1:19">
      <c r="A404" t="s">
        <v>481</v>
      </c>
      <c r="B404" t="s">
        <v>482</v>
      </c>
      <c r="C404" t="s">
        <v>995</v>
      </c>
      <c r="D404" t="s">
        <v>918</v>
      </c>
      <c r="E404" t="str">
        <f t="shared" si="20"/>
        <v>Department of Neurosurgery/NEUROSURG-Neurological Surgery</v>
      </c>
      <c r="F404" t="s">
        <v>18</v>
      </c>
      <c r="G404" s="2" t="s">
        <v>866</v>
      </c>
      <c r="H404" t="s">
        <v>15</v>
      </c>
      <c r="I404" t="s">
        <v>80</v>
      </c>
      <c r="J404" s="1">
        <v>47657</v>
      </c>
      <c r="K404">
        <v>1</v>
      </c>
      <c r="L404" t="s">
        <v>972</v>
      </c>
      <c r="M404" t="s">
        <v>983</v>
      </c>
      <c r="N404" t="s">
        <v>80</v>
      </c>
      <c r="O404">
        <v>2023</v>
      </c>
      <c r="P404" t="str">
        <f t="shared" si="21"/>
        <v>Other</v>
      </c>
      <c r="Q404">
        <v>32.874409200000002</v>
      </c>
      <c r="R404">
        <v>-117.23611849678871</v>
      </c>
      <c r="S404" t="str">
        <f t="shared" si="19"/>
        <v/>
      </c>
    </row>
    <row r="405" spans="1:19">
      <c r="A405" t="s">
        <v>777</v>
      </c>
      <c r="B405" t="s">
        <v>778</v>
      </c>
      <c r="C405" t="s">
        <v>991</v>
      </c>
      <c r="D405" t="s">
        <v>898</v>
      </c>
      <c r="E405" t="str">
        <f t="shared" si="20"/>
        <v>Department of Cardiology/CARD-Cardiovascular Disease</v>
      </c>
      <c r="F405" t="s">
        <v>9</v>
      </c>
      <c r="G405" s="2" t="s">
        <v>865</v>
      </c>
      <c r="H405" t="s">
        <v>10</v>
      </c>
      <c r="I405" t="s">
        <v>11</v>
      </c>
      <c r="J405" s="1">
        <v>46203</v>
      </c>
      <c r="K405">
        <v>4</v>
      </c>
      <c r="L405" t="s">
        <v>972</v>
      </c>
      <c r="M405" t="s">
        <v>982</v>
      </c>
      <c r="N405" t="s">
        <v>11</v>
      </c>
      <c r="O405">
        <v>2023</v>
      </c>
      <c r="P405" t="str">
        <f t="shared" si="21"/>
        <v>Asian</v>
      </c>
      <c r="Q405">
        <v>40.841542800000013</v>
      </c>
      <c r="R405">
        <v>-73.94139229999999</v>
      </c>
      <c r="S405" t="str">
        <f t="shared" si="19"/>
        <v/>
      </c>
    </row>
    <row r="406" spans="1:19">
      <c r="A406" t="s">
        <v>68</v>
      </c>
      <c r="B406" t="s">
        <v>69</v>
      </c>
      <c r="C406" t="s">
        <v>991</v>
      </c>
      <c r="D406" t="s">
        <v>898</v>
      </c>
      <c r="E406" t="str">
        <f t="shared" si="20"/>
        <v>Department of Cardiology/CARD-Cardiovascular Disease</v>
      </c>
      <c r="F406" t="s">
        <v>9</v>
      </c>
      <c r="G406" s="2" t="s">
        <v>865</v>
      </c>
      <c r="H406" t="s">
        <v>10</v>
      </c>
      <c r="I406" t="s">
        <v>11</v>
      </c>
      <c r="J406" s="1">
        <v>46203</v>
      </c>
      <c r="K406">
        <v>4</v>
      </c>
      <c r="L406" t="s">
        <v>972</v>
      </c>
      <c r="M406" t="s">
        <v>982</v>
      </c>
      <c r="N406" t="s">
        <v>11</v>
      </c>
      <c r="O406">
        <v>2023</v>
      </c>
      <c r="P406" t="str">
        <f t="shared" si="21"/>
        <v>Asian</v>
      </c>
      <c r="Q406">
        <v>40.841542800000013</v>
      </c>
      <c r="R406">
        <v>-73.94139229999999</v>
      </c>
      <c r="S406" t="str">
        <f t="shared" si="19"/>
        <v/>
      </c>
    </row>
    <row r="407" spans="1:19">
      <c r="A407" t="s">
        <v>385</v>
      </c>
      <c r="B407" t="s">
        <v>386</v>
      </c>
      <c r="C407" t="s">
        <v>988</v>
      </c>
      <c r="D407" t="s">
        <v>887</v>
      </c>
      <c r="E407" t="str">
        <f t="shared" si="20"/>
        <v>Department of Medicine/MED-Internal Medicine</v>
      </c>
      <c r="F407" t="s">
        <v>183</v>
      </c>
      <c r="G407" s="2" t="s">
        <v>866</v>
      </c>
      <c r="H407" t="s">
        <v>15</v>
      </c>
      <c r="I407" t="s">
        <v>21</v>
      </c>
      <c r="J407" s="1">
        <v>45466</v>
      </c>
      <c r="K407">
        <v>3</v>
      </c>
      <c r="L407" t="s">
        <v>972</v>
      </c>
      <c r="M407" t="s">
        <v>978</v>
      </c>
      <c r="N407" t="s">
        <v>21</v>
      </c>
      <c r="O407">
        <v>2023</v>
      </c>
      <c r="P407" t="str">
        <f t="shared" si="21"/>
        <v>White</v>
      </c>
      <c r="Q407">
        <v>33.793635299999998</v>
      </c>
      <c r="R407">
        <v>-84.322179556478247</v>
      </c>
      <c r="S407" t="str">
        <f t="shared" si="19"/>
        <v/>
      </c>
    </row>
    <row r="408" spans="1:19">
      <c r="A408" t="s">
        <v>22</v>
      </c>
      <c r="B408" t="s">
        <v>23</v>
      </c>
      <c r="C408" t="s">
        <v>989</v>
      </c>
      <c r="D408" t="s">
        <v>889</v>
      </c>
      <c r="E408" t="str">
        <f t="shared" si="20"/>
        <v>Department of Surgery/SURG-Surgery</v>
      </c>
      <c r="F408" t="s">
        <v>24</v>
      </c>
      <c r="G408" t="s">
        <v>969</v>
      </c>
      <c r="H408" t="s">
        <v>10</v>
      </c>
      <c r="I408" t="s">
        <v>11</v>
      </c>
      <c r="J408" s="1">
        <v>46196</v>
      </c>
      <c r="K408">
        <v>3</v>
      </c>
      <c r="L408" t="s">
        <v>972</v>
      </c>
      <c r="M408" t="s">
        <v>986</v>
      </c>
      <c r="N408" t="s">
        <v>11</v>
      </c>
      <c r="O408">
        <v>2023</v>
      </c>
      <c r="P408" t="str">
        <f t="shared" si="21"/>
        <v>Asian</v>
      </c>
      <c r="Q408">
        <v>36.005368400000002</v>
      </c>
      <c r="R408">
        <v>-78.938201699999993</v>
      </c>
      <c r="S408" t="str">
        <f t="shared" si="19"/>
        <v/>
      </c>
    </row>
    <row r="409" spans="1:19">
      <c r="A409" t="s">
        <v>795</v>
      </c>
      <c r="B409" t="s">
        <v>87</v>
      </c>
      <c r="C409" t="s">
        <v>991</v>
      </c>
      <c r="D409" t="s">
        <v>898</v>
      </c>
      <c r="E409" t="str">
        <f t="shared" si="20"/>
        <v>Department of Cardiology/CARD-Cardiovascular Disease</v>
      </c>
      <c r="F409" t="s">
        <v>9</v>
      </c>
      <c r="G409" s="2" t="s">
        <v>865</v>
      </c>
      <c r="H409" t="s">
        <v>15</v>
      </c>
      <c r="I409" t="s">
        <v>21</v>
      </c>
      <c r="J409" s="1">
        <v>46203</v>
      </c>
      <c r="K409">
        <v>4</v>
      </c>
      <c r="L409" t="s">
        <v>972</v>
      </c>
      <c r="M409" t="s">
        <v>982</v>
      </c>
      <c r="N409" t="s">
        <v>21</v>
      </c>
      <c r="O409">
        <v>2023</v>
      </c>
      <c r="P409" t="str">
        <f t="shared" si="21"/>
        <v>White</v>
      </c>
      <c r="Q409">
        <v>40.841542800000013</v>
      </c>
      <c r="R409">
        <v>-73.94139229999999</v>
      </c>
      <c r="S409" t="str">
        <f t="shared" si="19"/>
        <v/>
      </c>
    </row>
    <row r="410" spans="1:19">
      <c r="A410" t="s">
        <v>563</v>
      </c>
      <c r="B410" t="s">
        <v>104</v>
      </c>
      <c r="C410" t="s">
        <v>988</v>
      </c>
      <c r="D410" t="s">
        <v>887</v>
      </c>
      <c r="E410" t="str">
        <f t="shared" si="20"/>
        <v>Department of Medicine/MED-Internal Medicine</v>
      </c>
      <c r="F410" t="s">
        <v>18</v>
      </c>
      <c r="G410" s="2" t="s">
        <v>866</v>
      </c>
      <c r="H410" t="s">
        <v>15</v>
      </c>
      <c r="I410" t="s">
        <v>973</v>
      </c>
      <c r="J410" s="1">
        <v>45831</v>
      </c>
      <c r="K410">
        <v>1</v>
      </c>
      <c r="L410" t="s">
        <v>972</v>
      </c>
      <c r="M410" t="s">
        <v>981</v>
      </c>
      <c r="N410" t="s">
        <v>973</v>
      </c>
      <c r="O410">
        <v>2023</v>
      </c>
      <c r="P410" t="str">
        <f t="shared" si="21"/>
        <v>No response/undeclared</v>
      </c>
      <c r="Q410">
        <v>42.336831850000003</v>
      </c>
      <c r="R410">
        <v>-71.103809211180575</v>
      </c>
      <c r="S410" t="str">
        <f t="shared" si="19"/>
        <v/>
      </c>
    </row>
    <row r="411" spans="1:19">
      <c r="A411" t="s">
        <v>529</v>
      </c>
      <c r="B411" t="s">
        <v>118</v>
      </c>
      <c r="C411" t="s">
        <v>999</v>
      </c>
      <c r="D411" t="s">
        <v>890</v>
      </c>
      <c r="E411" t="str">
        <f t="shared" si="20"/>
        <v>Department of Urology/URO-Urology</v>
      </c>
      <c r="F411" t="s">
        <v>18</v>
      </c>
      <c r="G411" s="2" t="s">
        <v>866</v>
      </c>
      <c r="H411" t="s">
        <v>15</v>
      </c>
      <c r="I411" t="s">
        <v>163</v>
      </c>
      <c r="J411" s="1">
        <v>46934</v>
      </c>
      <c r="K411">
        <v>1</v>
      </c>
      <c r="L411" t="s">
        <v>972</v>
      </c>
      <c r="M411" t="s">
        <v>979</v>
      </c>
      <c r="N411" t="s">
        <v>11</v>
      </c>
      <c r="O411">
        <v>2023</v>
      </c>
      <c r="P411" t="s">
        <v>11</v>
      </c>
      <c r="Q411">
        <v>40.443128700000003</v>
      </c>
      <c r="R411">
        <v>-79.961324099999999</v>
      </c>
      <c r="S411" t="str">
        <f t="shared" si="19"/>
        <v/>
      </c>
    </row>
    <row r="412" spans="1:19">
      <c r="A412" t="s">
        <v>591</v>
      </c>
      <c r="B412" t="s">
        <v>592</v>
      </c>
      <c r="C412" t="s">
        <v>990</v>
      </c>
      <c r="D412" t="s">
        <v>886</v>
      </c>
      <c r="E412" t="str">
        <f t="shared" si="20"/>
        <v>Department of Anesthesia/ANES-Anesthesiology</v>
      </c>
      <c r="F412" t="s">
        <v>74</v>
      </c>
      <c r="G412" s="2" t="s">
        <v>866</v>
      </c>
      <c r="H412" t="s">
        <v>10</v>
      </c>
      <c r="I412" t="s">
        <v>11</v>
      </c>
      <c r="J412" s="1">
        <v>45473</v>
      </c>
      <c r="K412">
        <v>4</v>
      </c>
      <c r="L412" t="s">
        <v>972</v>
      </c>
      <c r="M412" t="s">
        <v>985</v>
      </c>
      <c r="N412" t="s">
        <v>11</v>
      </c>
      <c r="O412">
        <v>2023</v>
      </c>
      <c r="P412" t="str">
        <f t="shared" si="21"/>
        <v>Asian</v>
      </c>
      <c r="Q412">
        <v>37.4582762</v>
      </c>
      <c r="R412">
        <v>-122.1739822</v>
      </c>
      <c r="S412" t="str">
        <f t="shared" si="19"/>
        <v/>
      </c>
    </row>
    <row r="413" spans="1:19">
      <c r="A413" t="s">
        <v>823</v>
      </c>
      <c r="B413" t="s">
        <v>824</v>
      </c>
      <c r="C413" t="s">
        <v>993</v>
      </c>
      <c r="D413" t="s">
        <v>943</v>
      </c>
      <c r="E413" t="str">
        <f t="shared" si="20"/>
        <v>Department of Neurology/NEURO-Movement Disorders</v>
      </c>
      <c r="F413" t="s">
        <v>9</v>
      </c>
      <c r="G413" t="s">
        <v>969</v>
      </c>
      <c r="H413" t="s">
        <v>15</v>
      </c>
      <c r="I413" t="s">
        <v>80</v>
      </c>
      <c r="J413" s="1">
        <v>45473</v>
      </c>
      <c r="K413">
        <v>5</v>
      </c>
      <c r="L413" t="s">
        <v>972</v>
      </c>
      <c r="M413" t="s">
        <v>978</v>
      </c>
      <c r="N413" t="s">
        <v>80</v>
      </c>
      <c r="O413">
        <v>2023</v>
      </c>
      <c r="P413" t="str">
        <f t="shared" si="21"/>
        <v>Other</v>
      </c>
      <c r="Q413">
        <v>33.793635299999998</v>
      </c>
      <c r="R413">
        <v>-84.322179556478247</v>
      </c>
      <c r="S413" t="str">
        <f t="shared" si="19"/>
        <v/>
      </c>
    </row>
    <row r="414" spans="1:19">
      <c r="A414" t="s">
        <v>807</v>
      </c>
      <c r="B414" t="s">
        <v>808</v>
      </c>
      <c r="C414" t="s">
        <v>991</v>
      </c>
      <c r="D414" t="s">
        <v>897</v>
      </c>
      <c r="E414" t="str">
        <f t="shared" si="20"/>
        <v>Department of Cardiology/CARD-Adv Heart Failure and Transplant Cardiology</v>
      </c>
      <c r="F414" t="s">
        <v>9</v>
      </c>
      <c r="G414" s="2" t="s">
        <v>865</v>
      </c>
      <c r="H414" t="s">
        <v>15</v>
      </c>
      <c r="I414" t="s">
        <v>11</v>
      </c>
      <c r="J414" s="1">
        <v>45473</v>
      </c>
      <c r="K414">
        <v>7</v>
      </c>
      <c r="L414" t="s">
        <v>972</v>
      </c>
      <c r="M414" t="s">
        <v>982</v>
      </c>
      <c r="N414" t="s">
        <v>11</v>
      </c>
      <c r="O414">
        <v>2023</v>
      </c>
      <c r="P414" t="str">
        <f t="shared" si="21"/>
        <v>Asian</v>
      </c>
      <c r="Q414">
        <v>40.841542800000013</v>
      </c>
      <c r="R414">
        <v>-73.94139229999999</v>
      </c>
      <c r="S414" t="str">
        <f t="shared" si="19"/>
        <v/>
      </c>
    </row>
    <row r="415" spans="1:19">
      <c r="A415" t="s">
        <v>135</v>
      </c>
      <c r="B415" t="s">
        <v>136</v>
      </c>
      <c r="C415" t="s">
        <v>990</v>
      </c>
      <c r="D415" t="s">
        <v>920</v>
      </c>
      <c r="E415" t="str">
        <f t="shared" si="20"/>
        <v>Department of Anesthesia/ANES-Adult Cardiothoracic Anesthesiology</v>
      </c>
      <c r="F415" t="s">
        <v>9</v>
      </c>
      <c r="G415" t="s">
        <v>865</v>
      </c>
      <c r="H415" t="s">
        <v>15</v>
      </c>
      <c r="I415" t="s">
        <v>11</v>
      </c>
      <c r="J415" s="1">
        <v>45504</v>
      </c>
      <c r="K415">
        <v>5</v>
      </c>
      <c r="L415" t="s">
        <v>972</v>
      </c>
      <c r="M415" t="s">
        <v>985</v>
      </c>
      <c r="N415" t="s">
        <v>11</v>
      </c>
      <c r="O415">
        <v>2023</v>
      </c>
      <c r="P415" t="str">
        <f t="shared" si="21"/>
        <v>Asian</v>
      </c>
      <c r="Q415">
        <v>37.4582762</v>
      </c>
      <c r="R415">
        <v>-122.1739822</v>
      </c>
      <c r="S415" t="str">
        <f t="shared" si="19"/>
        <v/>
      </c>
    </row>
    <row r="416" spans="1:19">
      <c r="A416" t="s">
        <v>373</v>
      </c>
      <c r="B416" t="s">
        <v>374</v>
      </c>
      <c r="C416" t="s">
        <v>988</v>
      </c>
      <c r="D416" t="s">
        <v>887</v>
      </c>
      <c r="E416" t="str">
        <f t="shared" si="20"/>
        <v>Department of Medicine/MED-Internal Medicine</v>
      </c>
      <c r="F416" t="s">
        <v>183</v>
      </c>
      <c r="G416" s="2" t="s">
        <v>866</v>
      </c>
      <c r="H416" t="s">
        <v>15</v>
      </c>
      <c r="I416" t="s">
        <v>83</v>
      </c>
      <c r="J416" s="1">
        <v>45466</v>
      </c>
      <c r="K416">
        <v>3</v>
      </c>
      <c r="L416" t="s">
        <v>972</v>
      </c>
      <c r="M416" t="s">
        <v>977</v>
      </c>
      <c r="N416" t="s">
        <v>966</v>
      </c>
      <c r="O416">
        <v>2023</v>
      </c>
      <c r="P416" t="str">
        <f t="shared" si="21"/>
        <v>Hispanic or Latino</v>
      </c>
      <c r="Q416">
        <v>39.745566599999997</v>
      </c>
      <c r="R416">
        <v>-104.8359873</v>
      </c>
      <c r="S416">
        <f t="shared" si="19"/>
        <v>1</v>
      </c>
    </row>
    <row r="417" spans="1:19">
      <c r="A417" t="s">
        <v>348</v>
      </c>
      <c r="B417" t="s">
        <v>349</v>
      </c>
      <c r="C417" t="s">
        <v>989</v>
      </c>
      <c r="D417" t="s">
        <v>894</v>
      </c>
      <c r="E417" t="str">
        <f t="shared" si="20"/>
        <v>Department of Surgery/SURG-Otolaryngology Head and Neck Surgery</v>
      </c>
      <c r="F417" t="s">
        <v>183</v>
      </c>
      <c r="G417" s="2" t="s">
        <v>866</v>
      </c>
      <c r="H417" t="s">
        <v>15</v>
      </c>
      <c r="I417" t="s">
        <v>973</v>
      </c>
      <c r="J417" s="1">
        <v>46196</v>
      </c>
      <c r="K417">
        <v>3</v>
      </c>
      <c r="L417" t="s">
        <v>972</v>
      </c>
      <c r="M417" t="s">
        <v>986</v>
      </c>
      <c r="N417" t="s">
        <v>973</v>
      </c>
      <c r="O417">
        <v>2023</v>
      </c>
      <c r="P417" t="str">
        <f t="shared" si="21"/>
        <v>No response/undeclared</v>
      </c>
      <c r="Q417">
        <v>36.005368400000002</v>
      </c>
      <c r="R417">
        <v>-78.938201699999993</v>
      </c>
      <c r="S417" t="str">
        <f t="shared" si="19"/>
        <v/>
      </c>
    </row>
    <row r="418" spans="1:19">
      <c r="A418" t="s">
        <v>58</v>
      </c>
      <c r="B418" t="s">
        <v>476</v>
      </c>
      <c r="C418" t="s">
        <v>990</v>
      </c>
      <c r="D418" t="s">
        <v>886</v>
      </c>
      <c r="E418" t="str">
        <f t="shared" si="20"/>
        <v>Department of Anesthesia/ANES-Anesthesiology</v>
      </c>
      <c r="F418" t="s">
        <v>183</v>
      </c>
      <c r="G418" s="2" t="s">
        <v>866</v>
      </c>
      <c r="H418" t="s">
        <v>15</v>
      </c>
      <c r="I418" t="s">
        <v>21</v>
      </c>
      <c r="J418" s="1">
        <v>45838</v>
      </c>
      <c r="K418">
        <v>3</v>
      </c>
      <c r="L418" t="s">
        <v>972</v>
      </c>
      <c r="M418" t="s">
        <v>965</v>
      </c>
      <c r="N418" t="s">
        <v>21</v>
      </c>
      <c r="O418">
        <v>2023</v>
      </c>
      <c r="P418" t="str">
        <f t="shared" si="21"/>
        <v>White</v>
      </c>
      <c r="Q418">
        <v>40.347099999999998</v>
      </c>
      <c r="R418">
        <v>-74.661600000000007</v>
      </c>
      <c r="S418" t="str">
        <f t="shared" si="19"/>
        <v/>
      </c>
    </row>
    <row r="419" spans="1:19">
      <c r="A419" t="s">
        <v>58</v>
      </c>
      <c r="B419" t="s">
        <v>59</v>
      </c>
      <c r="C419" t="s">
        <v>997</v>
      </c>
      <c r="D419" t="s">
        <v>888</v>
      </c>
      <c r="E419" t="str">
        <f t="shared" si="20"/>
        <v>Department of Orthopedic Surgery/ORTHO-Orthopaedic Surgery</v>
      </c>
      <c r="F419" t="s">
        <v>18</v>
      </c>
      <c r="G419" s="2" t="s">
        <v>866</v>
      </c>
      <c r="H419" t="s">
        <v>10</v>
      </c>
      <c r="I419" t="s">
        <v>973</v>
      </c>
      <c r="J419" s="1">
        <v>46934</v>
      </c>
      <c r="K419">
        <v>1</v>
      </c>
      <c r="L419" t="s">
        <v>972</v>
      </c>
      <c r="M419" t="s">
        <v>983</v>
      </c>
      <c r="N419" t="s">
        <v>973</v>
      </c>
      <c r="O419">
        <v>2023</v>
      </c>
      <c r="P419" t="str">
        <f t="shared" si="21"/>
        <v>No response/undeclared</v>
      </c>
      <c r="Q419">
        <v>32.874409200000002</v>
      </c>
      <c r="R419">
        <v>-117.23611849678871</v>
      </c>
      <c r="S419" t="str">
        <f t="shared" si="19"/>
        <v/>
      </c>
    </row>
    <row r="420" spans="1:19">
      <c r="A420" t="s">
        <v>78</v>
      </c>
      <c r="B420" t="s">
        <v>79</v>
      </c>
      <c r="C420" t="s">
        <v>991</v>
      </c>
      <c r="D420" t="s">
        <v>941</v>
      </c>
      <c r="E420" t="str">
        <f t="shared" si="20"/>
        <v>Department of Cardiology/CARD-Clinical Cardiac Electrophysiology</v>
      </c>
      <c r="F420" t="s">
        <v>9</v>
      </c>
      <c r="G420" s="2" t="s">
        <v>865</v>
      </c>
      <c r="H420" t="s">
        <v>15</v>
      </c>
      <c r="I420" t="s">
        <v>80</v>
      </c>
      <c r="J420" s="1">
        <v>45838</v>
      </c>
      <c r="K420">
        <v>7</v>
      </c>
      <c r="L420" t="s">
        <v>972</v>
      </c>
      <c r="M420" t="s">
        <v>982</v>
      </c>
      <c r="N420" t="s">
        <v>80</v>
      </c>
      <c r="O420">
        <v>2023</v>
      </c>
      <c r="P420" t="str">
        <f t="shared" si="21"/>
        <v>Other</v>
      </c>
      <c r="Q420">
        <v>40.841542800000013</v>
      </c>
      <c r="R420">
        <v>-73.94139229999999</v>
      </c>
      <c r="S420" t="str">
        <f t="shared" si="19"/>
        <v/>
      </c>
    </row>
    <row r="421" spans="1:19">
      <c r="A421" t="s">
        <v>737</v>
      </c>
      <c r="B421" t="s">
        <v>125</v>
      </c>
      <c r="C421" t="s">
        <v>990</v>
      </c>
      <c r="D421" t="s">
        <v>886</v>
      </c>
      <c r="E421" t="str">
        <f t="shared" si="20"/>
        <v>Department of Anesthesia/ANES-Anesthesiology</v>
      </c>
      <c r="F421" t="s">
        <v>29</v>
      </c>
      <c r="G421" s="2" t="s">
        <v>866</v>
      </c>
      <c r="H421" t="s">
        <v>15</v>
      </c>
      <c r="I421" t="s">
        <v>11</v>
      </c>
      <c r="J421" s="1">
        <v>46203</v>
      </c>
      <c r="K421">
        <v>2</v>
      </c>
      <c r="L421" t="s">
        <v>972</v>
      </c>
      <c r="M421" t="s">
        <v>980</v>
      </c>
      <c r="N421" t="s">
        <v>11</v>
      </c>
      <c r="O421">
        <v>2023</v>
      </c>
      <c r="P421" t="str">
        <f t="shared" si="21"/>
        <v>Asian</v>
      </c>
      <c r="Q421">
        <v>34.064282899999988</v>
      </c>
      <c r="R421">
        <v>-118.44235620000001</v>
      </c>
      <c r="S421" t="str">
        <f t="shared" si="19"/>
        <v/>
      </c>
    </row>
    <row r="422" spans="1:19">
      <c r="A422" t="s">
        <v>54</v>
      </c>
      <c r="B422" t="s">
        <v>55</v>
      </c>
      <c r="C422" t="s">
        <v>990</v>
      </c>
      <c r="D422" t="s">
        <v>891</v>
      </c>
      <c r="E422" t="str">
        <f t="shared" si="20"/>
        <v>Department of Anesthesia/ANES-Pain Medicine</v>
      </c>
      <c r="F422" t="s">
        <v>9</v>
      </c>
      <c r="G422" s="2" t="s">
        <v>865</v>
      </c>
      <c r="H422" t="s">
        <v>15</v>
      </c>
      <c r="I422" t="s">
        <v>973</v>
      </c>
      <c r="J422" s="1">
        <v>45504</v>
      </c>
      <c r="K422">
        <v>5</v>
      </c>
      <c r="L422" t="s">
        <v>972</v>
      </c>
      <c r="M422" t="s">
        <v>982</v>
      </c>
      <c r="N422" t="s">
        <v>973</v>
      </c>
      <c r="O422">
        <v>2023</v>
      </c>
      <c r="P422" t="str">
        <f t="shared" si="21"/>
        <v>No response/undeclared</v>
      </c>
      <c r="Q422">
        <v>40.841542800000013</v>
      </c>
      <c r="R422">
        <v>-73.94139229999999</v>
      </c>
      <c r="S422" t="str">
        <f t="shared" si="19"/>
        <v/>
      </c>
    </row>
    <row r="423" spans="1:19">
      <c r="A423" t="s">
        <v>394</v>
      </c>
      <c r="B423" t="s">
        <v>395</v>
      </c>
      <c r="C423" t="s">
        <v>988</v>
      </c>
      <c r="D423" t="s">
        <v>887</v>
      </c>
      <c r="E423" t="str">
        <f t="shared" si="20"/>
        <v>Department of Medicine/MED-Internal Medicine</v>
      </c>
      <c r="F423" t="s">
        <v>183</v>
      </c>
      <c r="G423" s="2" t="s">
        <v>866</v>
      </c>
      <c r="H423" t="s">
        <v>15</v>
      </c>
      <c r="I423" t="s">
        <v>11</v>
      </c>
      <c r="J423" s="1">
        <v>45466</v>
      </c>
      <c r="K423">
        <v>3</v>
      </c>
      <c r="L423" t="s">
        <v>972</v>
      </c>
      <c r="M423" t="s">
        <v>977</v>
      </c>
      <c r="N423" t="s">
        <v>11</v>
      </c>
      <c r="O423">
        <v>2023</v>
      </c>
      <c r="P423" t="str">
        <f t="shared" si="21"/>
        <v>Asian</v>
      </c>
      <c r="Q423">
        <v>39.745566599999997</v>
      </c>
      <c r="R423">
        <v>-104.8359873</v>
      </c>
      <c r="S423" t="str">
        <f t="shared" si="19"/>
        <v/>
      </c>
    </row>
    <row r="424" spans="1:19">
      <c r="A424" t="s">
        <v>113</v>
      </c>
      <c r="B424" t="s">
        <v>114</v>
      </c>
      <c r="C424" t="s">
        <v>988</v>
      </c>
      <c r="D424" t="s">
        <v>932</v>
      </c>
      <c r="E424" t="str">
        <f t="shared" si="20"/>
        <v>Department of Medicine/MED-Hospice &amp; Palliative Care Medicine</v>
      </c>
      <c r="F424" t="s">
        <v>9</v>
      </c>
      <c r="G424" s="2" t="s">
        <v>865</v>
      </c>
      <c r="H424" t="s">
        <v>10</v>
      </c>
      <c r="I424" t="s">
        <v>83</v>
      </c>
      <c r="J424" s="1">
        <v>45473</v>
      </c>
      <c r="K424">
        <v>5</v>
      </c>
      <c r="L424" t="s">
        <v>972</v>
      </c>
      <c r="M424" t="s">
        <v>981</v>
      </c>
      <c r="N424" t="s">
        <v>966</v>
      </c>
      <c r="O424">
        <v>2023</v>
      </c>
      <c r="P424" t="str">
        <f t="shared" si="21"/>
        <v>Hispanic or Latino</v>
      </c>
      <c r="Q424">
        <v>42.336831850000003</v>
      </c>
      <c r="R424">
        <v>-71.103809211180575</v>
      </c>
      <c r="S424">
        <f t="shared" si="19"/>
        <v>1</v>
      </c>
    </row>
    <row r="425" spans="1:19">
      <c r="A425" t="s">
        <v>586</v>
      </c>
      <c r="B425" t="s">
        <v>587</v>
      </c>
      <c r="C425" t="s">
        <v>990</v>
      </c>
      <c r="D425" t="s">
        <v>886</v>
      </c>
      <c r="E425" t="str">
        <f t="shared" si="20"/>
        <v>Department of Anesthesia/ANES-Anesthesiology</v>
      </c>
      <c r="F425" t="s">
        <v>74</v>
      </c>
      <c r="G425" s="2" t="s">
        <v>866</v>
      </c>
      <c r="H425" t="s">
        <v>15</v>
      </c>
      <c r="I425" t="s">
        <v>437</v>
      </c>
      <c r="J425" s="1">
        <v>45473</v>
      </c>
      <c r="K425">
        <v>4</v>
      </c>
      <c r="L425" t="s">
        <v>972</v>
      </c>
      <c r="M425" t="s">
        <v>985</v>
      </c>
      <c r="N425" t="s">
        <v>966</v>
      </c>
      <c r="O425">
        <v>2023</v>
      </c>
      <c r="P425" t="str">
        <f t="shared" si="21"/>
        <v>American Indian or Alaskan Native</v>
      </c>
      <c r="Q425">
        <v>37.4582762</v>
      </c>
      <c r="R425">
        <v>-122.1739822</v>
      </c>
      <c r="S425">
        <f t="shared" si="19"/>
        <v>1</v>
      </c>
    </row>
    <row r="426" spans="1:19">
      <c r="A426" t="s">
        <v>131</v>
      </c>
      <c r="B426" t="s">
        <v>132</v>
      </c>
      <c r="C426" t="s">
        <v>997</v>
      </c>
      <c r="D426" t="s">
        <v>938</v>
      </c>
      <c r="E426" t="str">
        <f t="shared" si="20"/>
        <v>Department of Orthopedic Surgery/ORTHO-Ortho Hand Surgery</v>
      </c>
      <c r="F426" t="s">
        <v>9</v>
      </c>
      <c r="G426" s="2" t="s">
        <v>865</v>
      </c>
      <c r="H426" t="s">
        <v>10</v>
      </c>
      <c r="I426" t="s">
        <v>75</v>
      </c>
      <c r="J426" s="1">
        <v>45504</v>
      </c>
      <c r="K426">
        <v>6</v>
      </c>
      <c r="L426" t="s">
        <v>972</v>
      </c>
      <c r="M426" t="s">
        <v>983</v>
      </c>
      <c r="N426" t="s">
        <v>966</v>
      </c>
      <c r="O426">
        <v>2023</v>
      </c>
      <c r="P426" t="str">
        <f t="shared" si="21"/>
        <v>Hispanic or Latino, White</v>
      </c>
      <c r="Q426">
        <v>32.874409200000002</v>
      </c>
      <c r="R426">
        <v>-117.23611849678871</v>
      </c>
      <c r="S426">
        <f t="shared" si="19"/>
        <v>1</v>
      </c>
    </row>
    <row r="427" spans="1:19">
      <c r="A427" t="s">
        <v>401</v>
      </c>
      <c r="B427" t="s">
        <v>402</v>
      </c>
      <c r="C427" t="s">
        <v>989</v>
      </c>
      <c r="D427" t="s">
        <v>889</v>
      </c>
      <c r="E427" t="str">
        <f t="shared" si="20"/>
        <v>Department of Surgery/SURG-Surgery</v>
      </c>
      <c r="F427" t="s">
        <v>225</v>
      </c>
      <c r="G427" s="2" t="s">
        <v>866</v>
      </c>
      <c r="H427" t="s">
        <v>15</v>
      </c>
      <c r="I427" t="s">
        <v>80</v>
      </c>
      <c r="J427" s="1">
        <v>45466</v>
      </c>
      <c r="K427">
        <v>5</v>
      </c>
      <c r="L427" t="s">
        <v>972</v>
      </c>
      <c r="M427" t="s">
        <v>979</v>
      </c>
      <c r="N427" t="s">
        <v>80</v>
      </c>
      <c r="O427">
        <v>2023</v>
      </c>
      <c r="P427" t="str">
        <f t="shared" si="21"/>
        <v>Other</v>
      </c>
      <c r="Q427">
        <v>40.443128700000003</v>
      </c>
      <c r="R427">
        <v>-79.961324099999999</v>
      </c>
      <c r="S427" t="str">
        <f t="shared" si="19"/>
        <v/>
      </c>
    </row>
    <row r="428" spans="1:19">
      <c r="A428" t="s">
        <v>615</v>
      </c>
      <c r="B428" t="s">
        <v>125</v>
      </c>
      <c r="C428" t="s">
        <v>988</v>
      </c>
      <c r="D428" t="s">
        <v>956</v>
      </c>
      <c r="E428" t="str">
        <f t="shared" si="20"/>
        <v>Department of Medicine/MED-Pulmonary/Critical Care Medicine</v>
      </c>
      <c r="F428" t="s">
        <v>152</v>
      </c>
      <c r="G428" s="2" t="s">
        <v>865</v>
      </c>
      <c r="H428" t="s">
        <v>15</v>
      </c>
      <c r="I428" t="s">
        <v>21</v>
      </c>
      <c r="J428" s="1">
        <v>45473</v>
      </c>
      <c r="K428">
        <v>6</v>
      </c>
      <c r="L428" t="s">
        <v>972</v>
      </c>
      <c r="M428" t="s">
        <v>978</v>
      </c>
      <c r="N428" t="s">
        <v>21</v>
      </c>
      <c r="O428">
        <v>2023</v>
      </c>
      <c r="P428" t="str">
        <f t="shared" si="21"/>
        <v>White</v>
      </c>
      <c r="Q428">
        <v>33.793635299999998</v>
      </c>
      <c r="R428">
        <v>-84.322179556478247</v>
      </c>
      <c r="S428" t="str">
        <f t="shared" si="19"/>
        <v/>
      </c>
    </row>
    <row r="429" spans="1:19">
      <c r="A429" t="s">
        <v>392</v>
      </c>
      <c r="B429" t="s">
        <v>393</v>
      </c>
      <c r="C429" t="s">
        <v>988</v>
      </c>
      <c r="D429" t="s">
        <v>887</v>
      </c>
      <c r="E429" t="str">
        <f t="shared" si="20"/>
        <v>Department of Medicine/MED-Internal Medicine</v>
      </c>
      <c r="F429" t="s">
        <v>183</v>
      </c>
      <c r="G429" s="2" t="s">
        <v>866</v>
      </c>
      <c r="H429" t="s">
        <v>15</v>
      </c>
      <c r="I429" t="s">
        <v>21</v>
      </c>
      <c r="J429" s="1">
        <v>45466</v>
      </c>
      <c r="K429">
        <v>3</v>
      </c>
      <c r="L429" t="s">
        <v>972</v>
      </c>
      <c r="M429" t="s">
        <v>978</v>
      </c>
      <c r="N429" t="s">
        <v>21</v>
      </c>
      <c r="O429">
        <v>2023</v>
      </c>
      <c r="P429" t="str">
        <f t="shared" si="21"/>
        <v>White</v>
      </c>
      <c r="Q429">
        <v>33.793635299999998</v>
      </c>
      <c r="R429">
        <v>-84.322179556478247</v>
      </c>
      <c r="S429" t="str">
        <f t="shared" si="19"/>
        <v/>
      </c>
    </row>
    <row r="430" spans="1:19">
      <c r="A430" t="s">
        <v>27</v>
      </c>
      <c r="B430" t="s">
        <v>28</v>
      </c>
      <c r="C430" t="s">
        <v>989</v>
      </c>
      <c r="D430" t="s">
        <v>930</v>
      </c>
      <c r="E430" t="str">
        <f t="shared" si="20"/>
        <v>Department of Surgery/SURG-Podiatric Surgery</v>
      </c>
      <c r="F430" t="s">
        <v>29</v>
      </c>
      <c r="G430" s="2" t="s">
        <v>80</v>
      </c>
      <c r="H430" t="s">
        <v>15</v>
      </c>
      <c r="I430" t="s">
        <v>21</v>
      </c>
      <c r="J430" s="1">
        <v>45838</v>
      </c>
      <c r="K430">
        <v>2</v>
      </c>
      <c r="L430" t="s">
        <v>972</v>
      </c>
      <c r="M430" t="s">
        <v>986</v>
      </c>
      <c r="N430" t="s">
        <v>21</v>
      </c>
      <c r="O430">
        <v>2023</v>
      </c>
      <c r="P430" t="str">
        <f t="shared" si="21"/>
        <v>White</v>
      </c>
      <c r="Q430">
        <v>36.005368400000002</v>
      </c>
      <c r="R430">
        <v>-78.938201699999993</v>
      </c>
      <c r="S430" t="str">
        <f t="shared" si="19"/>
        <v/>
      </c>
    </row>
    <row r="431" spans="1:19">
      <c r="A431" t="s">
        <v>635</v>
      </c>
      <c r="B431" t="s">
        <v>636</v>
      </c>
      <c r="C431" t="s">
        <v>998</v>
      </c>
      <c r="D431" t="s">
        <v>949</v>
      </c>
      <c r="E431" t="str">
        <f t="shared" si="20"/>
        <v>Department of Radiation Oncology/RAD-Medical Physics</v>
      </c>
      <c r="F431" t="s">
        <v>29</v>
      </c>
      <c r="G431" s="2" t="s">
        <v>80</v>
      </c>
      <c r="H431" t="s">
        <v>15</v>
      </c>
      <c r="I431" t="s">
        <v>21</v>
      </c>
      <c r="J431" s="1">
        <v>45473</v>
      </c>
      <c r="K431">
        <v>1</v>
      </c>
      <c r="L431" t="s">
        <v>972</v>
      </c>
      <c r="M431" t="s">
        <v>986</v>
      </c>
      <c r="N431" t="s">
        <v>21</v>
      </c>
      <c r="O431">
        <v>2023</v>
      </c>
      <c r="P431" t="str">
        <f t="shared" si="21"/>
        <v>White</v>
      </c>
      <c r="Q431">
        <v>36.005368400000002</v>
      </c>
      <c r="R431">
        <v>-78.938201699999993</v>
      </c>
      <c r="S431" t="str">
        <f t="shared" si="19"/>
        <v/>
      </c>
    </row>
    <row r="432" spans="1:19">
      <c r="A432" t="s">
        <v>90</v>
      </c>
      <c r="B432" t="s">
        <v>91</v>
      </c>
      <c r="C432" t="s">
        <v>989</v>
      </c>
      <c r="D432" t="s">
        <v>933</v>
      </c>
      <c r="E432" t="str">
        <f t="shared" si="20"/>
        <v>Department of Surgery/SURG-Colorectal Surgery</v>
      </c>
      <c r="F432" t="s">
        <v>9</v>
      </c>
      <c r="G432" s="2" t="s">
        <v>865</v>
      </c>
      <c r="H432" t="s">
        <v>10</v>
      </c>
      <c r="I432" t="s">
        <v>83</v>
      </c>
      <c r="J432" s="1">
        <v>45504</v>
      </c>
      <c r="K432">
        <v>6</v>
      </c>
      <c r="L432" t="s">
        <v>972</v>
      </c>
      <c r="M432" t="s">
        <v>986</v>
      </c>
      <c r="N432" t="s">
        <v>966</v>
      </c>
      <c r="O432">
        <v>2023</v>
      </c>
      <c r="P432" t="str">
        <f t="shared" si="21"/>
        <v>Hispanic or Latino</v>
      </c>
      <c r="Q432">
        <v>36.005368400000002</v>
      </c>
      <c r="R432">
        <v>-78.938201699999993</v>
      </c>
      <c r="S432">
        <f t="shared" si="19"/>
        <v>1</v>
      </c>
    </row>
    <row r="433" spans="1:19">
      <c r="A433" t="s">
        <v>788</v>
      </c>
      <c r="B433" t="s">
        <v>742</v>
      </c>
      <c r="C433" t="s">
        <v>988</v>
      </c>
      <c r="D433" t="s">
        <v>956</v>
      </c>
      <c r="E433" t="str">
        <f t="shared" si="20"/>
        <v>Department of Medicine/MED-Pulmonary/Critical Care Medicine</v>
      </c>
      <c r="F433" t="s">
        <v>9</v>
      </c>
      <c r="G433" s="2" t="s">
        <v>865</v>
      </c>
      <c r="H433" t="s">
        <v>15</v>
      </c>
      <c r="I433" t="s">
        <v>11</v>
      </c>
      <c r="J433" s="1">
        <v>46203</v>
      </c>
      <c r="K433">
        <v>4</v>
      </c>
      <c r="L433" t="s">
        <v>972</v>
      </c>
      <c r="M433" t="s">
        <v>978</v>
      </c>
      <c r="N433" t="s">
        <v>11</v>
      </c>
      <c r="O433">
        <v>2023</v>
      </c>
      <c r="P433" t="str">
        <f t="shared" si="21"/>
        <v>Asian</v>
      </c>
      <c r="Q433">
        <v>33.793635299999998</v>
      </c>
      <c r="R433">
        <v>-84.322179556478247</v>
      </c>
      <c r="S433" t="str">
        <f t="shared" si="19"/>
        <v/>
      </c>
    </row>
    <row r="434" spans="1:19">
      <c r="A434" t="s">
        <v>218</v>
      </c>
      <c r="B434" t="s">
        <v>95</v>
      </c>
      <c r="C434" t="s">
        <v>989</v>
      </c>
      <c r="D434" t="s">
        <v>889</v>
      </c>
      <c r="E434" t="str">
        <f t="shared" si="20"/>
        <v>Department of Surgery/SURG-Surgery</v>
      </c>
      <c r="F434" t="s">
        <v>183</v>
      </c>
      <c r="G434" s="2" t="s">
        <v>866</v>
      </c>
      <c r="H434" t="s">
        <v>15</v>
      </c>
      <c r="I434" t="s">
        <v>11</v>
      </c>
      <c r="J434" s="1">
        <v>46196</v>
      </c>
      <c r="K434">
        <v>3</v>
      </c>
      <c r="L434" t="s">
        <v>972</v>
      </c>
      <c r="M434" t="s">
        <v>979</v>
      </c>
      <c r="N434" t="s">
        <v>11</v>
      </c>
      <c r="O434">
        <v>2023</v>
      </c>
      <c r="P434" t="str">
        <f t="shared" si="21"/>
        <v>Asian</v>
      </c>
      <c r="Q434">
        <v>40.443128700000003</v>
      </c>
      <c r="R434">
        <v>-79.961324099999999</v>
      </c>
      <c r="S434" t="str">
        <f t="shared" si="19"/>
        <v/>
      </c>
    </row>
    <row r="435" spans="1:19">
      <c r="A435" t="s">
        <v>458</v>
      </c>
      <c r="B435" t="s">
        <v>122</v>
      </c>
      <c r="C435" t="s">
        <v>988</v>
      </c>
      <c r="D435" t="s">
        <v>887</v>
      </c>
      <c r="E435" t="str">
        <f t="shared" si="20"/>
        <v>Department of Medicine/MED-Internal Medicine</v>
      </c>
      <c r="F435" t="s">
        <v>29</v>
      </c>
      <c r="G435" s="2" t="s">
        <v>866</v>
      </c>
      <c r="H435" t="s">
        <v>15</v>
      </c>
      <c r="I435" t="s">
        <v>973</v>
      </c>
      <c r="J435" s="1">
        <v>45831</v>
      </c>
      <c r="K435">
        <v>2</v>
      </c>
      <c r="L435" t="s">
        <v>972</v>
      </c>
      <c r="M435" t="s">
        <v>981</v>
      </c>
      <c r="N435" t="s">
        <v>973</v>
      </c>
      <c r="O435">
        <v>2023</v>
      </c>
      <c r="P435" t="str">
        <f t="shared" si="21"/>
        <v>No response/undeclared</v>
      </c>
      <c r="Q435">
        <v>42.336831850000003</v>
      </c>
      <c r="R435">
        <v>-71.103809211180575</v>
      </c>
      <c r="S435" t="str">
        <f t="shared" si="19"/>
        <v/>
      </c>
    </row>
    <row r="436" spans="1:19">
      <c r="A436" t="s">
        <v>538</v>
      </c>
      <c r="B436" t="s">
        <v>539</v>
      </c>
      <c r="C436" t="s">
        <v>988</v>
      </c>
      <c r="D436" t="s">
        <v>887</v>
      </c>
      <c r="E436" t="str">
        <f t="shared" si="20"/>
        <v>Department of Medicine/MED-Internal Medicine</v>
      </c>
      <c r="F436" t="s">
        <v>168</v>
      </c>
      <c r="G436" t="s">
        <v>969</v>
      </c>
      <c r="H436" t="s">
        <v>15</v>
      </c>
      <c r="I436" t="s">
        <v>21</v>
      </c>
      <c r="J436" s="1" t="s">
        <v>40</v>
      </c>
      <c r="K436" t="s">
        <v>40</v>
      </c>
      <c r="L436" t="s">
        <v>972</v>
      </c>
      <c r="M436" t="s">
        <v>977</v>
      </c>
      <c r="N436" t="s">
        <v>21</v>
      </c>
      <c r="O436">
        <v>2023</v>
      </c>
      <c r="P436" t="str">
        <f t="shared" si="21"/>
        <v>White</v>
      </c>
      <c r="Q436">
        <v>39.745566599999997</v>
      </c>
      <c r="R436">
        <v>-104.8359873</v>
      </c>
      <c r="S436" t="str">
        <f t="shared" si="19"/>
        <v/>
      </c>
    </row>
    <row r="437" spans="1:19">
      <c r="A437" t="s">
        <v>440</v>
      </c>
      <c r="B437" t="s">
        <v>441</v>
      </c>
      <c r="C437" t="s">
        <v>988</v>
      </c>
      <c r="D437" t="s">
        <v>887</v>
      </c>
      <c r="E437" t="str">
        <f t="shared" si="20"/>
        <v>Department of Medicine/MED-Internal Medicine</v>
      </c>
      <c r="F437" t="s">
        <v>29</v>
      </c>
      <c r="G437" s="2" t="s">
        <v>866</v>
      </c>
      <c r="H437" t="s">
        <v>10</v>
      </c>
      <c r="I437" t="s">
        <v>163</v>
      </c>
      <c r="J437" s="1">
        <v>45831</v>
      </c>
      <c r="K437">
        <v>2</v>
      </c>
      <c r="L437" t="s">
        <v>972</v>
      </c>
      <c r="M437" t="s">
        <v>977</v>
      </c>
      <c r="N437" t="s">
        <v>11</v>
      </c>
      <c r="O437">
        <v>2023</v>
      </c>
      <c r="P437" t="s">
        <v>11</v>
      </c>
      <c r="Q437">
        <v>39.745566599999997</v>
      </c>
      <c r="R437">
        <v>-104.8359873</v>
      </c>
      <c r="S437" t="str">
        <f t="shared" si="19"/>
        <v/>
      </c>
    </row>
    <row r="438" spans="1:19">
      <c r="A438" t="s">
        <v>176</v>
      </c>
      <c r="B438" t="s">
        <v>177</v>
      </c>
      <c r="C438" t="s">
        <v>991</v>
      </c>
      <c r="D438" t="s">
        <v>898</v>
      </c>
      <c r="E438" t="str">
        <f t="shared" si="20"/>
        <v>Department of Cardiology/CARD-Cardiovascular Disease</v>
      </c>
      <c r="F438" t="s">
        <v>9</v>
      </c>
      <c r="G438" s="2" t="s">
        <v>865</v>
      </c>
      <c r="H438" t="s">
        <v>15</v>
      </c>
      <c r="I438" t="s">
        <v>11</v>
      </c>
      <c r="J438" s="1">
        <v>46203</v>
      </c>
      <c r="K438">
        <v>4</v>
      </c>
      <c r="L438" t="s">
        <v>972</v>
      </c>
      <c r="M438" t="s">
        <v>982</v>
      </c>
      <c r="N438" t="s">
        <v>11</v>
      </c>
      <c r="O438">
        <v>2023</v>
      </c>
      <c r="P438" t="str">
        <f t="shared" si="21"/>
        <v>Asian</v>
      </c>
      <c r="Q438">
        <v>40.841542800000013</v>
      </c>
      <c r="R438">
        <v>-73.94139229999999</v>
      </c>
      <c r="S438" t="str">
        <f t="shared" si="19"/>
        <v/>
      </c>
    </row>
    <row r="439" spans="1:19">
      <c r="A439" t="s">
        <v>718</v>
      </c>
      <c r="B439" t="s">
        <v>719</v>
      </c>
      <c r="C439" t="s">
        <v>988</v>
      </c>
      <c r="D439" t="s">
        <v>901</v>
      </c>
      <c r="E439" t="str">
        <f t="shared" si="20"/>
        <v>Department of Medicine/MED-Endocrinology</v>
      </c>
      <c r="F439" t="s">
        <v>14</v>
      </c>
      <c r="G439" s="2" t="s">
        <v>865</v>
      </c>
      <c r="H439" t="s">
        <v>10</v>
      </c>
      <c r="I439" t="s">
        <v>21</v>
      </c>
      <c r="J439" s="1">
        <v>45473</v>
      </c>
      <c r="K439">
        <v>5</v>
      </c>
      <c r="L439" t="s">
        <v>972</v>
      </c>
      <c r="M439" t="s">
        <v>984</v>
      </c>
      <c r="N439" t="s">
        <v>21</v>
      </c>
      <c r="O439">
        <v>2023</v>
      </c>
      <c r="P439" t="str">
        <f t="shared" si="21"/>
        <v>White</v>
      </c>
      <c r="Q439">
        <v>34.061138</v>
      </c>
      <c r="R439">
        <v>-118.2057365</v>
      </c>
      <c r="S439" t="str">
        <f t="shared" si="19"/>
        <v/>
      </c>
    </row>
    <row r="440" spans="1:19">
      <c r="A440" t="s">
        <v>286</v>
      </c>
      <c r="B440" t="s">
        <v>287</v>
      </c>
      <c r="C440" t="s">
        <v>992</v>
      </c>
      <c r="D440" t="s">
        <v>924</v>
      </c>
      <c r="E440" t="str">
        <f t="shared" si="20"/>
        <v>Department of Cardiac Surgery/CARDSURG-Surgical Structural Heart Disease</v>
      </c>
      <c r="F440" t="s">
        <v>9</v>
      </c>
      <c r="G440" t="s">
        <v>969</v>
      </c>
      <c r="H440" t="s">
        <v>15</v>
      </c>
      <c r="I440" t="s">
        <v>11</v>
      </c>
      <c r="J440" s="1">
        <v>45473</v>
      </c>
      <c r="K440">
        <v>7</v>
      </c>
      <c r="L440" t="s">
        <v>972</v>
      </c>
      <c r="M440" t="s">
        <v>982</v>
      </c>
      <c r="N440" t="s">
        <v>11</v>
      </c>
      <c r="O440">
        <v>2023</v>
      </c>
      <c r="P440" t="str">
        <f t="shared" si="21"/>
        <v>Asian</v>
      </c>
      <c r="Q440">
        <v>40.841542800000013</v>
      </c>
      <c r="R440">
        <v>-73.94139229999999</v>
      </c>
      <c r="S440" t="str">
        <f t="shared" si="19"/>
        <v/>
      </c>
    </row>
    <row r="441" spans="1:19">
      <c r="A441" t="s">
        <v>204</v>
      </c>
      <c r="B441" t="s">
        <v>205</v>
      </c>
      <c r="C441" t="s">
        <v>999</v>
      </c>
      <c r="D441" t="s">
        <v>890</v>
      </c>
      <c r="E441" t="str">
        <f t="shared" si="20"/>
        <v>Department of Urology/URO-Urology</v>
      </c>
      <c r="F441" t="s">
        <v>29</v>
      </c>
      <c r="G441" s="2" t="s">
        <v>866</v>
      </c>
      <c r="H441" t="s">
        <v>15</v>
      </c>
      <c r="I441" t="s">
        <v>96</v>
      </c>
      <c r="J441" s="1">
        <v>46568</v>
      </c>
      <c r="K441">
        <v>2</v>
      </c>
      <c r="L441" t="s">
        <v>972</v>
      </c>
      <c r="M441" t="s">
        <v>979</v>
      </c>
      <c r="N441" t="s">
        <v>966</v>
      </c>
      <c r="O441">
        <v>2023</v>
      </c>
      <c r="P441" t="str">
        <f t="shared" si="21"/>
        <v>Black or African American</v>
      </c>
      <c r="Q441">
        <v>40.443128700000003</v>
      </c>
      <c r="R441">
        <v>-79.961324099999999</v>
      </c>
      <c r="S441">
        <f t="shared" si="19"/>
        <v>1</v>
      </c>
    </row>
    <row r="442" spans="1:19">
      <c r="A442" t="s">
        <v>511</v>
      </c>
      <c r="B442" t="s">
        <v>162</v>
      </c>
      <c r="C442" t="s">
        <v>988</v>
      </c>
      <c r="D442" t="s">
        <v>887</v>
      </c>
      <c r="E442" t="str">
        <f t="shared" si="20"/>
        <v>Department of Medicine/MED-Internal Medicine</v>
      </c>
      <c r="F442" t="s">
        <v>18</v>
      </c>
      <c r="G442" s="2" t="s">
        <v>866</v>
      </c>
      <c r="H442" t="s">
        <v>10</v>
      </c>
      <c r="I442" t="s">
        <v>11</v>
      </c>
      <c r="J442" s="1">
        <v>45466</v>
      </c>
      <c r="K442">
        <v>1</v>
      </c>
      <c r="L442" t="s">
        <v>972</v>
      </c>
      <c r="M442" t="s">
        <v>978</v>
      </c>
      <c r="N442" t="s">
        <v>11</v>
      </c>
      <c r="O442">
        <v>2023</v>
      </c>
      <c r="P442" t="str">
        <f t="shared" si="21"/>
        <v>Asian</v>
      </c>
      <c r="Q442">
        <v>33.793635299999998</v>
      </c>
      <c r="R442">
        <v>-84.322179556478247</v>
      </c>
      <c r="S442" t="str">
        <f t="shared" si="19"/>
        <v/>
      </c>
    </row>
    <row r="443" spans="1:19">
      <c r="A443" t="s">
        <v>511</v>
      </c>
      <c r="B443" t="s">
        <v>419</v>
      </c>
      <c r="C443" t="s">
        <v>993</v>
      </c>
      <c r="D443" t="s">
        <v>917</v>
      </c>
      <c r="E443" t="str">
        <f t="shared" si="20"/>
        <v>Department of Neurology/NEURO-Neurology</v>
      </c>
      <c r="F443" t="s">
        <v>29</v>
      </c>
      <c r="G443" s="2" t="s">
        <v>866</v>
      </c>
      <c r="H443" t="s">
        <v>10</v>
      </c>
      <c r="I443" t="s">
        <v>11</v>
      </c>
      <c r="J443" s="1">
        <v>45838</v>
      </c>
      <c r="K443">
        <v>3</v>
      </c>
      <c r="L443" t="s">
        <v>972</v>
      </c>
      <c r="M443" t="s">
        <v>981</v>
      </c>
      <c r="N443" t="s">
        <v>11</v>
      </c>
      <c r="O443">
        <v>2023</v>
      </c>
      <c r="P443" t="str">
        <f t="shared" si="21"/>
        <v>Asian</v>
      </c>
      <c r="Q443">
        <v>42.336831850000003</v>
      </c>
      <c r="R443">
        <v>-71.103809211180575</v>
      </c>
      <c r="S443" t="str">
        <f t="shared" si="19"/>
        <v/>
      </c>
    </row>
    <row r="444" spans="1:19">
      <c r="A444" t="s">
        <v>849</v>
      </c>
      <c r="B444" t="s">
        <v>106</v>
      </c>
      <c r="C444" t="s">
        <v>988</v>
      </c>
      <c r="D444" t="s">
        <v>904</v>
      </c>
      <c r="E444" t="str">
        <f t="shared" si="20"/>
        <v>Department of Medicine/MED-Hematology And Medical Oncology</v>
      </c>
      <c r="F444" t="s">
        <v>9</v>
      </c>
      <c r="G444" s="2" t="s">
        <v>865</v>
      </c>
      <c r="H444" t="s">
        <v>15</v>
      </c>
      <c r="I444" t="s">
        <v>11</v>
      </c>
      <c r="J444" s="1">
        <v>46387</v>
      </c>
      <c r="K444">
        <v>4</v>
      </c>
      <c r="L444" t="s">
        <v>972</v>
      </c>
      <c r="M444" t="s">
        <v>981</v>
      </c>
      <c r="N444" t="s">
        <v>11</v>
      </c>
      <c r="O444">
        <v>2023</v>
      </c>
      <c r="P444" t="str">
        <f t="shared" si="21"/>
        <v>Asian</v>
      </c>
      <c r="Q444">
        <v>42.336831850000003</v>
      </c>
      <c r="R444">
        <v>-71.103809211180575</v>
      </c>
      <c r="S444" t="str">
        <f t="shared" si="19"/>
        <v/>
      </c>
    </row>
    <row r="445" spans="1:19">
      <c r="A445" t="s">
        <v>327</v>
      </c>
      <c r="B445" t="s">
        <v>328</v>
      </c>
      <c r="C445" t="s">
        <v>995</v>
      </c>
      <c r="D445" t="s">
        <v>918</v>
      </c>
      <c r="E445" t="str">
        <f t="shared" si="20"/>
        <v>Department of Neurosurgery/NEUROSURG-Neurological Surgery</v>
      </c>
      <c r="F445" t="s">
        <v>329</v>
      </c>
      <c r="G445" s="2" t="s">
        <v>866</v>
      </c>
      <c r="H445" t="s">
        <v>10</v>
      </c>
      <c r="I445" t="s">
        <v>11</v>
      </c>
      <c r="J445" s="1">
        <v>45466</v>
      </c>
      <c r="K445">
        <v>7</v>
      </c>
      <c r="L445" t="s">
        <v>972</v>
      </c>
      <c r="M445" t="s">
        <v>983</v>
      </c>
      <c r="N445" t="s">
        <v>11</v>
      </c>
      <c r="O445">
        <v>2023</v>
      </c>
      <c r="P445" t="str">
        <f t="shared" si="21"/>
        <v>Asian</v>
      </c>
      <c r="Q445">
        <v>32.874409200000002</v>
      </c>
      <c r="R445">
        <v>-117.23611849678871</v>
      </c>
      <c r="S445" t="str">
        <f t="shared" si="19"/>
        <v/>
      </c>
    </row>
    <row r="446" spans="1:19">
      <c r="A446" t="s">
        <v>601</v>
      </c>
      <c r="B446" t="s">
        <v>602</v>
      </c>
      <c r="C446" t="s">
        <v>991</v>
      </c>
      <c r="D446" t="s">
        <v>898</v>
      </c>
      <c r="E446" t="str">
        <f t="shared" si="20"/>
        <v>Department of Cardiology/CARD-Cardiovascular Disease</v>
      </c>
      <c r="F446" t="s">
        <v>152</v>
      </c>
      <c r="G446" s="2" t="s">
        <v>865</v>
      </c>
      <c r="H446" t="s">
        <v>10</v>
      </c>
      <c r="I446" t="s">
        <v>11</v>
      </c>
      <c r="J446" s="1">
        <v>45473</v>
      </c>
      <c r="K446">
        <v>6</v>
      </c>
      <c r="L446" t="s">
        <v>972</v>
      </c>
      <c r="M446" t="s">
        <v>982</v>
      </c>
      <c r="N446" t="s">
        <v>11</v>
      </c>
      <c r="O446">
        <v>2023</v>
      </c>
      <c r="P446" t="str">
        <f t="shared" si="21"/>
        <v>Asian</v>
      </c>
      <c r="Q446">
        <v>40.841542800000013</v>
      </c>
      <c r="R446">
        <v>-73.94139229999999</v>
      </c>
      <c r="S446" t="str">
        <f t="shared" si="19"/>
        <v/>
      </c>
    </row>
    <row r="447" spans="1:19">
      <c r="A447" t="s">
        <v>260</v>
      </c>
      <c r="B447" t="s">
        <v>261</v>
      </c>
      <c r="C447" t="s">
        <v>996</v>
      </c>
      <c r="D447" t="s">
        <v>960</v>
      </c>
      <c r="E447" t="str">
        <f t="shared" si="20"/>
        <v>Department of Obstetrics &amp; Gynecology/OB/GYN-Obstetrics &amp; Gynecology</v>
      </c>
      <c r="F447" t="s">
        <v>74</v>
      </c>
      <c r="G447" s="2" t="s">
        <v>866</v>
      </c>
      <c r="H447" t="s">
        <v>10</v>
      </c>
      <c r="I447" t="s">
        <v>96</v>
      </c>
      <c r="J447" s="1">
        <v>45466</v>
      </c>
      <c r="K447">
        <v>4</v>
      </c>
      <c r="L447" t="s">
        <v>972</v>
      </c>
      <c r="M447" t="s">
        <v>983</v>
      </c>
      <c r="N447" t="s">
        <v>966</v>
      </c>
      <c r="O447">
        <v>2023</v>
      </c>
      <c r="P447" t="str">
        <f t="shared" si="21"/>
        <v>Black or African American</v>
      </c>
      <c r="Q447">
        <v>32.874409200000002</v>
      </c>
      <c r="R447">
        <v>-117.23611849678871</v>
      </c>
      <c r="S447">
        <f t="shared" si="19"/>
        <v>1</v>
      </c>
    </row>
    <row r="448" spans="1:19">
      <c r="A448" t="s">
        <v>415</v>
      </c>
      <c r="B448" t="s">
        <v>416</v>
      </c>
      <c r="C448" t="s">
        <v>996</v>
      </c>
      <c r="D448" t="s">
        <v>960</v>
      </c>
      <c r="E448" t="str">
        <f t="shared" si="20"/>
        <v>Department of Obstetrics &amp; Gynecology/OB/GYN-Obstetrics &amp; Gynecology</v>
      </c>
      <c r="F448" t="s">
        <v>29</v>
      </c>
      <c r="G448" s="2" t="s">
        <v>866</v>
      </c>
      <c r="H448" t="s">
        <v>10</v>
      </c>
      <c r="I448" t="s">
        <v>96</v>
      </c>
      <c r="J448" s="1">
        <v>46196</v>
      </c>
      <c r="K448">
        <v>2</v>
      </c>
      <c r="L448" t="s">
        <v>972</v>
      </c>
      <c r="M448" t="s">
        <v>983</v>
      </c>
      <c r="N448" t="s">
        <v>966</v>
      </c>
      <c r="O448">
        <v>2023</v>
      </c>
      <c r="P448" t="str">
        <f t="shared" si="21"/>
        <v>Black or African American</v>
      </c>
      <c r="Q448">
        <v>32.874409200000002</v>
      </c>
      <c r="R448">
        <v>-117.23611849678871</v>
      </c>
      <c r="S448">
        <f t="shared" si="19"/>
        <v>1</v>
      </c>
    </row>
    <row r="449" spans="1:19">
      <c r="A449" t="s">
        <v>221</v>
      </c>
      <c r="B449" t="s">
        <v>222</v>
      </c>
      <c r="C449" t="s">
        <v>994</v>
      </c>
      <c r="D449" t="s">
        <v>945</v>
      </c>
      <c r="E449" t="str">
        <f t="shared" si="20"/>
        <v>Department of Pathology/PATH-Molecular Genetic</v>
      </c>
      <c r="F449" t="s">
        <v>9</v>
      </c>
      <c r="G449" s="2" t="s">
        <v>865</v>
      </c>
      <c r="H449" t="s">
        <v>10</v>
      </c>
      <c r="I449" t="s">
        <v>21</v>
      </c>
      <c r="J449" s="1">
        <v>45473</v>
      </c>
      <c r="K449">
        <v>5</v>
      </c>
      <c r="L449" t="s">
        <v>972</v>
      </c>
      <c r="M449" t="s">
        <v>986</v>
      </c>
      <c r="N449" t="s">
        <v>21</v>
      </c>
      <c r="O449">
        <v>2023</v>
      </c>
      <c r="P449" t="str">
        <f t="shared" si="21"/>
        <v>White</v>
      </c>
      <c r="Q449">
        <v>36.005368400000002</v>
      </c>
      <c r="R449">
        <v>-78.938201699999993</v>
      </c>
      <c r="S449" t="str">
        <f t="shared" si="19"/>
        <v/>
      </c>
    </row>
    <row r="450" spans="1:19">
      <c r="A450" t="s">
        <v>138</v>
      </c>
      <c r="B450" t="s">
        <v>691</v>
      </c>
      <c r="C450" t="s">
        <v>993</v>
      </c>
      <c r="D450" t="s">
        <v>917</v>
      </c>
      <c r="E450" t="str">
        <f t="shared" si="20"/>
        <v>Department of Neurology/NEURO-Neurology</v>
      </c>
      <c r="F450" t="s">
        <v>18</v>
      </c>
      <c r="G450" s="2" t="s">
        <v>866</v>
      </c>
      <c r="H450" t="s">
        <v>15</v>
      </c>
      <c r="I450" t="s">
        <v>11</v>
      </c>
      <c r="J450" s="1">
        <v>46203</v>
      </c>
      <c r="K450">
        <v>1</v>
      </c>
      <c r="L450" t="s">
        <v>972</v>
      </c>
      <c r="M450" t="s">
        <v>978</v>
      </c>
      <c r="N450" t="s">
        <v>11</v>
      </c>
      <c r="O450">
        <v>2023</v>
      </c>
      <c r="P450" t="str">
        <f t="shared" si="21"/>
        <v>Asian</v>
      </c>
      <c r="Q450">
        <v>33.793635299999998</v>
      </c>
      <c r="R450">
        <v>-84.322179556478247</v>
      </c>
      <c r="S450" t="str">
        <f t="shared" ref="S450:S507" si="22">IF(N450="URM",1,"")</f>
        <v/>
      </c>
    </row>
    <row r="451" spans="1:19">
      <c r="A451" t="s">
        <v>692</v>
      </c>
      <c r="B451" t="s">
        <v>693</v>
      </c>
      <c r="C451" t="s">
        <v>990</v>
      </c>
      <c r="D451" t="s">
        <v>886</v>
      </c>
      <c r="E451" t="str">
        <f t="shared" ref="E451:E507" si="23">C451&amp;"/"&amp;D451</f>
        <v>Department of Anesthesia/ANES-Anesthesiology</v>
      </c>
      <c r="F451" t="s">
        <v>183</v>
      </c>
      <c r="G451" s="2" t="s">
        <v>866</v>
      </c>
      <c r="H451" t="s">
        <v>10</v>
      </c>
      <c r="I451" t="s">
        <v>80</v>
      </c>
      <c r="J451" s="1">
        <v>45838</v>
      </c>
      <c r="K451">
        <v>3</v>
      </c>
      <c r="L451" t="s">
        <v>972</v>
      </c>
      <c r="M451" t="s">
        <v>965</v>
      </c>
      <c r="N451" t="s">
        <v>80</v>
      </c>
      <c r="O451">
        <v>2023</v>
      </c>
      <c r="P451" t="str">
        <f t="shared" ref="P451:P507" si="24">I451</f>
        <v>Other</v>
      </c>
      <c r="Q451">
        <v>40.347099999999998</v>
      </c>
      <c r="R451">
        <v>-74.661600000000007</v>
      </c>
      <c r="S451" t="str">
        <f t="shared" si="22"/>
        <v/>
      </c>
    </row>
    <row r="452" spans="1:19">
      <c r="A452" t="s">
        <v>810</v>
      </c>
      <c r="B452" t="s">
        <v>811</v>
      </c>
      <c r="C452" t="s">
        <v>989</v>
      </c>
      <c r="D452" t="s">
        <v>914</v>
      </c>
      <c r="E452" t="str">
        <f t="shared" si="23"/>
        <v>Department of Surgery/SURG-Peripheral Nerve &amp; Microsurgery</v>
      </c>
      <c r="F452" t="s">
        <v>9</v>
      </c>
      <c r="G452" t="s">
        <v>969</v>
      </c>
      <c r="H452" t="s">
        <v>10</v>
      </c>
      <c r="I452" t="s">
        <v>11</v>
      </c>
      <c r="J452" s="1">
        <v>45473</v>
      </c>
      <c r="K452">
        <v>8</v>
      </c>
      <c r="L452" t="s">
        <v>972</v>
      </c>
      <c r="M452" t="s">
        <v>986</v>
      </c>
      <c r="N452" t="s">
        <v>11</v>
      </c>
      <c r="O452">
        <v>2023</v>
      </c>
      <c r="P452" t="str">
        <f t="shared" si="24"/>
        <v>Asian</v>
      </c>
      <c r="Q452">
        <v>36.005368400000002</v>
      </c>
      <c r="R452">
        <v>-78.938201699999993</v>
      </c>
      <c r="S452" t="str">
        <f t="shared" si="22"/>
        <v/>
      </c>
    </row>
    <row r="453" spans="1:19">
      <c r="A453" t="s">
        <v>438</v>
      </c>
      <c r="B453" t="s">
        <v>439</v>
      </c>
      <c r="C453" t="s">
        <v>988</v>
      </c>
      <c r="D453" t="s">
        <v>887</v>
      </c>
      <c r="E453" t="str">
        <f t="shared" si="23"/>
        <v>Department of Medicine/MED-Internal Medicine</v>
      </c>
      <c r="F453" t="s">
        <v>29</v>
      </c>
      <c r="G453" s="2" t="s">
        <v>866</v>
      </c>
      <c r="H453" t="s">
        <v>10</v>
      </c>
      <c r="I453" t="s">
        <v>21</v>
      </c>
      <c r="J453" s="1">
        <v>45831</v>
      </c>
      <c r="K453">
        <v>2</v>
      </c>
      <c r="L453" t="s">
        <v>972</v>
      </c>
      <c r="M453" t="s">
        <v>977</v>
      </c>
      <c r="N453" t="s">
        <v>21</v>
      </c>
      <c r="O453">
        <v>2023</v>
      </c>
      <c r="P453" t="str">
        <f t="shared" si="24"/>
        <v>White</v>
      </c>
      <c r="Q453">
        <v>39.745566599999997</v>
      </c>
      <c r="R453">
        <v>-104.8359873</v>
      </c>
      <c r="S453" t="str">
        <f t="shared" si="22"/>
        <v/>
      </c>
    </row>
    <row r="454" spans="1:19">
      <c r="A454" t="s">
        <v>464</v>
      </c>
      <c r="B454" t="s">
        <v>114</v>
      </c>
      <c r="C454" t="s">
        <v>992</v>
      </c>
      <c r="D454" t="s">
        <v>915</v>
      </c>
      <c r="E454" t="str">
        <f t="shared" si="23"/>
        <v>Department of Cardiac Surgery/CARDSURG-Thoracic Surgery-Integrated</v>
      </c>
      <c r="F454" t="s">
        <v>18</v>
      </c>
      <c r="G454" s="2" t="s">
        <v>866</v>
      </c>
      <c r="H454" t="s">
        <v>10</v>
      </c>
      <c r="I454" t="s">
        <v>83</v>
      </c>
      <c r="J454" s="1">
        <v>47299</v>
      </c>
      <c r="K454">
        <v>1</v>
      </c>
      <c r="L454" t="s">
        <v>972</v>
      </c>
      <c r="M454" t="s">
        <v>984</v>
      </c>
      <c r="N454" t="s">
        <v>966</v>
      </c>
      <c r="O454">
        <v>2023</v>
      </c>
      <c r="P454" t="str">
        <f t="shared" si="24"/>
        <v>Hispanic or Latino</v>
      </c>
      <c r="Q454">
        <v>34.061138</v>
      </c>
      <c r="R454">
        <v>-118.2057365</v>
      </c>
      <c r="S454">
        <f t="shared" si="22"/>
        <v>1</v>
      </c>
    </row>
    <row r="455" spans="1:19">
      <c r="A455" t="s">
        <v>166</v>
      </c>
      <c r="B455" t="s">
        <v>167</v>
      </c>
      <c r="C455" t="s">
        <v>988</v>
      </c>
      <c r="D455" t="s">
        <v>887</v>
      </c>
      <c r="E455" t="str">
        <f t="shared" si="23"/>
        <v>Department of Medicine/MED-Internal Medicine</v>
      </c>
      <c r="F455" t="s">
        <v>168</v>
      </c>
      <c r="G455" t="s">
        <v>969</v>
      </c>
      <c r="H455" t="s">
        <v>10</v>
      </c>
      <c r="I455" t="s">
        <v>80</v>
      </c>
      <c r="J455" s="1" t="s">
        <v>40</v>
      </c>
      <c r="K455" t="s">
        <v>40</v>
      </c>
      <c r="L455" t="s">
        <v>972</v>
      </c>
      <c r="M455" t="s">
        <v>977</v>
      </c>
      <c r="N455" t="s">
        <v>80</v>
      </c>
      <c r="O455">
        <v>2023</v>
      </c>
      <c r="P455" t="str">
        <f t="shared" si="24"/>
        <v>Other</v>
      </c>
      <c r="Q455">
        <v>39.745566599999997</v>
      </c>
      <c r="R455">
        <v>-104.8359873</v>
      </c>
      <c r="S455" t="str">
        <f t="shared" si="22"/>
        <v/>
      </c>
    </row>
    <row r="456" spans="1:19">
      <c r="A456" t="s">
        <v>427</v>
      </c>
      <c r="B456" t="s">
        <v>428</v>
      </c>
      <c r="C456" t="s">
        <v>994</v>
      </c>
      <c r="D456" t="s">
        <v>919</v>
      </c>
      <c r="E456" t="str">
        <f t="shared" si="23"/>
        <v>Department of Pathology/PATH-Pathology</v>
      </c>
      <c r="F456" t="s">
        <v>29</v>
      </c>
      <c r="G456" s="2" t="s">
        <v>866</v>
      </c>
      <c r="H456" t="s">
        <v>15</v>
      </c>
      <c r="I456" t="s">
        <v>21</v>
      </c>
      <c r="J456" s="1">
        <v>46196</v>
      </c>
      <c r="K456">
        <v>2</v>
      </c>
      <c r="L456" t="s">
        <v>972</v>
      </c>
      <c r="M456" t="s">
        <v>986</v>
      </c>
      <c r="N456" t="s">
        <v>21</v>
      </c>
      <c r="O456">
        <v>2023</v>
      </c>
      <c r="P456" t="str">
        <f t="shared" si="24"/>
        <v>White</v>
      </c>
      <c r="Q456">
        <v>36.005368400000002</v>
      </c>
      <c r="R456">
        <v>-78.938201699999993</v>
      </c>
      <c r="S456" t="str">
        <f t="shared" si="22"/>
        <v/>
      </c>
    </row>
    <row r="457" spans="1:19">
      <c r="A457" t="s">
        <v>243</v>
      </c>
      <c r="B457" t="s">
        <v>580</v>
      </c>
      <c r="C457" t="s">
        <v>990</v>
      </c>
      <c r="D457" t="s">
        <v>886</v>
      </c>
      <c r="E457" t="str">
        <f t="shared" si="23"/>
        <v>Department of Anesthesia/ANES-Anesthesiology</v>
      </c>
      <c r="F457" t="s">
        <v>74</v>
      </c>
      <c r="G457" s="2" t="s">
        <v>866</v>
      </c>
      <c r="H457" t="s">
        <v>10</v>
      </c>
      <c r="I457" t="s">
        <v>11</v>
      </c>
      <c r="J457" s="1">
        <v>45473</v>
      </c>
      <c r="K457">
        <v>4</v>
      </c>
      <c r="L457" t="s">
        <v>972</v>
      </c>
      <c r="M457" t="s">
        <v>981</v>
      </c>
      <c r="N457" t="s">
        <v>11</v>
      </c>
      <c r="O457">
        <v>2023</v>
      </c>
      <c r="P457" t="str">
        <f t="shared" si="24"/>
        <v>Asian</v>
      </c>
      <c r="Q457">
        <v>42.336831850000003</v>
      </c>
      <c r="R457">
        <v>-71.103809211180575</v>
      </c>
      <c r="S457" t="str">
        <f t="shared" si="22"/>
        <v/>
      </c>
    </row>
    <row r="458" spans="1:19">
      <c r="A458" t="s">
        <v>243</v>
      </c>
      <c r="B458" t="s">
        <v>634</v>
      </c>
      <c r="C458" t="s">
        <v>1000</v>
      </c>
      <c r="D458" t="s">
        <v>916</v>
      </c>
      <c r="E458" t="str">
        <f t="shared" si="23"/>
        <v>Department of Imaging/IMG-Diagnostic Radiology</v>
      </c>
      <c r="F458" t="s">
        <v>29</v>
      </c>
      <c r="G458" s="2" t="s">
        <v>866</v>
      </c>
      <c r="H458" t="s">
        <v>15</v>
      </c>
      <c r="I458" t="s">
        <v>11</v>
      </c>
      <c r="J458" s="1">
        <v>46203</v>
      </c>
      <c r="K458">
        <v>3</v>
      </c>
      <c r="L458" t="s">
        <v>972</v>
      </c>
      <c r="M458" t="s">
        <v>981</v>
      </c>
      <c r="N458" t="s">
        <v>11</v>
      </c>
      <c r="O458">
        <v>2023</v>
      </c>
      <c r="P458" t="str">
        <f t="shared" si="24"/>
        <v>Asian</v>
      </c>
      <c r="Q458">
        <v>42.336831850000003</v>
      </c>
      <c r="R458">
        <v>-71.103809211180575</v>
      </c>
      <c r="S458" t="str">
        <f t="shared" si="22"/>
        <v/>
      </c>
    </row>
    <row r="459" spans="1:19">
      <c r="A459" t="s">
        <v>243</v>
      </c>
      <c r="B459" t="s">
        <v>244</v>
      </c>
      <c r="C459" t="s">
        <v>988</v>
      </c>
      <c r="D459" t="s">
        <v>887</v>
      </c>
      <c r="E459" t="str">
        <f t="shared" si="23"/>
        <v>Department of Medicine/MED-Internal Medicine</v>
      </c>
      <c r="F459" t="s">
        <v>18</v>
      </c>
      <c r="G459" s="2" t="s">
        <v>866</v>
      </c>
      <c r="H459" t="s">
        <v>10</v>
      </c>
      <c r="I459" t="s">
        <v>11</v>
      </c>
      <c r="J459" s="1">
        <v>46196</v>
      </c>
      <c r="K459">
        <v>1</v>
      </c>
      <c r="L459" t="s">
        <v>972</v>
      </c>
      <c r="M459" t="s">
        <v>984</v>
      </c>
      <c r="N459" t="s">
        <v>11</v>
      </c>
      <c r="O459">
        <v>2023</v>
      </c>
      <c r="P459" t="str">
        <f t="shared" si="24"/>
        <v>Asian</v>
      </c>
      <c r="Q459">
        <v>34.061138</v>
      </c>
      <c r="R459">
        <v>-118.2057365</v>
      </c>
      <c r="S459" t="str">
        <f t="shared" si="22"/>
        <v/>
      </c>
    </row>
    <row r="460" spans="1:19">
      <c r="A460" t="s">
        <v>243</v>
      </c>
      <c r="B460" t="s">
        <v>478</v>
      </c>
      <c r="C460" t="s">
        <v>988</v>
      </c>
      <c r="D460" t="s">
        <v>887</v>
      </c>
      <c r="E460" t="str">
        <f t="shared" si="23"/>
        <v>Department of Medicine/MED-Internal Medicine</v>
      </c>
      <c r="F460" t="s">
        <v>29</v>
      </c>
      <c r="G460" s="2" t="s">
        <v>866</v>
      </c>
      <c r="H460" t="s">
        <v>10</v>
      </c>
      <c r="I460" t="s">
        <v>11</v>
      </c>
      <c r="J460" s="1">
        <v>45831</v>
      </c>
      <c r="K460">
        <v>2</v>
      </c>
      <c r="L460" t="s">
        <v>972</v>
      </c>
      <c r="M460" t="s">
        <v>985</v>
      </c>
      <c r="N460" t="s">
        <v>11</v>
      </c>
      <c r="O460">
        <v>2023</v>
      </c>
      <c r="P460" t="str">
        <f t="shared" si="24"/>
        <v>Asian</v>
      </c>
      <c r="Q460">
        <v>37.4582762</v>
      </c>
      <c r="R460">
        <v>-122.1739822</v>
      </c>
      <c r="S460" t="str">
        <f t="shared" si="22"/>
        <v/>
      </c>
    </row>
    <row r="461" spans="1:19">
      <c r="A461" t="s">
        <v>722</v>
      </c>
      <c r="B461" t="s">
        <v>723</v>
      </c>
      <c r="C461" t="s">
        <v>991</v>
      </c>
      <c r="D461" t="s">
        <v>898</v>
      </c>
      <c r="E461" t="str">
        <f t="shared" si="23"/>
        <v>Department of Cardiology/CARD-Cardiovascular Disease</v>
      </c>
      <c r="F461" t="s">
        <v>14</v>
      </c>
      <c r="G461" s="2" t="s">
        <v>865</v>
      </c>
      <c r="H461" t="s">
        <v>15</v>
      </c>
      <c r="I461" t="s">
        <v>11</v>
      </c>
      <c r="J461" s="1">
        <v>45838</v>
      </c>
      <c r="K461">
        <v>5</v>
      </c>
      <c r="L461" t="s">
        <v>972</v>
      </c>
      <c r="M461" t="s">
        <v>982</v>
      </c>
      <c r="N461" t="s">
        <v>11</v>
      </c>
      <c r="O461">
        <v>2023</v>
      </c>
      <c r="P461" t="str">
        <f t="shared" si="24"/>
        <v>Asian</v>
      </c>
      <c r="Q461">
        <v>40.841542800000013</v>
      </c>
      <c r="R461">
        <v>-73.94139229999999</v>
      </c>
      <c r="S461" t="str">
        <f t="shared" si="22"/>
        <v/>
      </c>
    </row>
    <row r="462" spans="1:19">
      <c r="A462" t="s">
        <v>107</v>
      </c>
      <c r="B462" t="s">
        <v>112</v>
      </c>
      <c r="C462" t="s">
        <v>988</v>
      </c>
      <c r="D462" t="s">
        <v>903</v>
      </c>
      <c r="E462" t="str">
        <f t="shared" si="23"/>
        <v>Department of Medicine/MED-Gastroenterology</v>
      </c>
      <c r="F462" t="s">
        <v>9</v>
      </c>
      <c r="G462" s="2" t="s">
        <v>865</v>
      </c>
      <c r="H462" t="s">
        <v>10</v>
      </c>
      <c r="I462" t="s">
        <v>11</v>
      </c>
      <c r="J462" s="1">
        <v>46203</v>
      </c>
      <c r="K462">
        <v>4</v>
      </c>
      <c r="L462" t="s">
        <v>972</v>
      </c>
      <c r="M462" t="s">
        <v>981</v>
      </c>
      <c r="N462" t="s">
        <v>11</v>
      </c>
      <c r="O462">
        <v>2023</v>
      </c>
      <c r="P462" t="str">
        <f t="shared" si="24"/>
        <v>Asian</v>
      </c>
      <c r="Q462">
        <v>42.336831850000003</v>
      </c>
      <c r="R462">
        <v>-71.103809211180575</v>
      </c>
      <c r="S462" t="str">
        <f t="shared" si="22"/>
        <v/>
      </c>
    </row>
    <row r="463" spans="1:19">
      <c r="A463" t="s">
        <v>107</v>
      </c>
      <c r="B463" t="s">
        <v>298</v>
      </c>
      <c r="C463" t="s">
        <v>988</v>
      </c>
      <c r="D463" t="s">
        <v>887</v>
      </c>
      <c r="E463" t="str">
        <f t="shared" si="23"/>
        <v>Department of Medicine/MED-Internal Medicine</v>
      </c>
      <c r="F463" t="s">
        <v>183</v>
      </c>
      <c r="G463" s="2" t="s">
        <v>866</v>
      </c>
      <c r="H463" t="s">
        <v>10</v>
      </c>
      <c r="I463" t="s">
        <v>11</v>
      </c>
      <c r="J463" s="1">
        <v>45466</v>
      </c>
      <c r="K463">
        <v>3</v>
      </c>
      <c r="L463" t="s">
        <v>972</v>
      </c>
      <c r="M463" t="s">
        <v>981</v>
      </c>
      <c r="N463" t="s">
        <v>11</v>
      </c>
      <c r="O463">
        <v>2023</v>
      </c>
      <c r="P463" t="str">
        <f t="shared" si="24"/>
        <v>Asian</v>
      </c>
      <c r="Q463">
        <v>42.336831850000003</v>
      </c>
      <c r="R463">
        <v>-71.103809211180575</v>
      </c>
      <c r="S463" t="str">
        <f t="shared" si="22"/>
        <v/>
      </c>
    </row>
    <row r="464" spans="1:19">
      <c r="A464" t="s">
        <v>107</v>
      </c>
      <c r="B464" t="s">
        <v>108</v>
      </c>
      <c r="C464" t="s">
        <v>988</v>
      </c>
      <c r="D464" t="s">
        <v>887</v>
      </c>
      <c r="E464" t="str">
        <f t="shared" si="23"/>
        <v>Department of Medicine/MED-Internal Medicine</v>
      </c>
      <c r="F464" t="s">
        <v>18</v>
      </c>
      <c r="G464" s="2" t="s">
        <v>866</v>
      </c>
      <c r="H464" t="s">
        <v>15</v>
      </c>
      <c r="I464" t="s">
        <v>11</v>
      </c>
      <c r="J464" s="1">
        <v>46196</v>
      </c>
      <c r="K464">
        <v>1</v>
      </c>
      <c r="L464" t="s">
        <v>972</v>
      </c>
      <c r="M464" t="s">
        <v>984</v>
      </c>
      <c r="N464" t="s">
        <v>11</v>
      </c>
      <c r="O464">
        <v>2023</v>
      </c>
      <c r="P464" t="str">
        <f t="shared" si="24"/>
        <v>Asian</v>
      </c>
      <c r="Q464">
        <v>34.061138</v>
      </c>
      <c r="R464">
        <v>-118.2057365</v>
      </c>
      <c r="S464" t="str">
        <f t="shared" si="22"/>
        <v/>
      </c>
    </row>
    <row r="465" spans="1:19">
      <c r="A465" t="s">
        <v>714</v>
      </c>
      <c r="B465" t="s">
        <v>106</v>
      </c>
      <c r="C465" t="s">
        <v>990</v>
      </c>
      <c r="D465" t="s">
        <v>954</v>
      </c>
      <c r="E465" t="str">
        <f t="shared" si="23"/>
        <v>Department of Anesthesia/ANES-Regional Anesthesia/Acute Pain Management</v>
      </c>
      <c r="F465" t="s">
        <v>9</v>
      </c>
      <c r="G465" s="2" t="s">
        <v>865</v>
      </c>
      <c r="H465" t="s">
        <v>15</v>
      </c>
      <c r="I465" t="s">
        <v>11</v>
      </c>
      <c r="J465" s="1">
        <v>45504</v>
      </c>
      <c r="K465">
        <v>5</v>
      </c>
      <c r="L465" t="s">
        <v>972</v>
      </c>
      <c r="M465" t="s">
        <v>982</v>
      </c>
      <c r="N465" t="s">
        <v>11</v>
      </c>
      <c r="O465">
        <v>2023</v>
      </c>
      <c r="P465" t="str">
        <f t="shared" si="24"/>
        <v>Asian</v>
      </c>
      <c r="Q465">
        <v>40.841542800000013</v>
      </c>
      <c r="R465">
        <v>-73.94139229999999</v>
      </c>
      <c r="S465" t="str">
        <f t="shared" si="22"/>
        <v/>
      </c>
    </row>
    <row r="466" spans="1:19">
      <c r="A466" t="s">
        <v>714</v>
      </c>
      <c r="B466" t="s">
        <v>715</v>
      </c>
      <c r="C466" t="s">
        <v>988</v>
      </c>
      <c r="D466" t="s">
        <v>903</v>
      </c>
      <c r="E466" t="str">
        <f t="shared" si="23"/>
        <v>Department of Medicine/MED-Gastroenterology</v>
      </c>
      <c r="F466" t="s">
        <v>14</v>
      </c>
      <c r="G466" s="2" t="s">
        <v>865</v>
      </c>
      <c r="H466" t="s">
        <v>15</v>
      </c>
      <c r="I466" t="s">
        <v>11</v>
      </c>
      <c r="J466" s="1">
        <v>45838</v>
      </c>
      <c r="K466">
        <v>5</v>
      </c>
      <c r="L466" t="s">
        <v>972</v>
      </c>
      <c r="M466" t="s">
        <v>984</v>
      </c>
      <c r="N466" t="s">
        <v>11</v>
      </c>
      <c r="O466">
        <v>2023</v>
      </c>
      <c r="P466" t="str">
        <f t="shared" si="24"/>
        <v>Asian</v>
      </c>
      <c r="Q466">
        <v>34.061138</v>
      </c>
      <c r="R466">
        <v>-118.2057365</v>
      </c>
      <c r="S466" t="str">
        <f t="shared" si="22"/>
        <v/>
      </c>
    </row>
    <row r="467" spans="1:19">
      <c r="A467" t="s">
        <v>289</v>
      </c>
      <c r="B467" t="s">
        <v>290</v>
      </c>
      <c r="C467" t="s">
        <v>988</v>
      </c>
      <c r="D467" t="s">
        <v>956</v>
      </c>
      <c r="E467" t="str">
        <f t="shared" si="23"/>
        <v>Department of Medicine/MED-Pulmonary/Critical Care Medicine</v>
      </c>
      <c r="F467" t="s">
        <v>152</v>
      </c>
      <c r="G467" s="2" t="s">
        <v>865</v>
      </c>
      <c r="H467" t="s">
        <v>15</v>
      </c>
      <c r="I467" t="s">
        <v>11</v>
      </c>
      <c r="J467" s="1">
        <v>45473</v>
      </c>
      <c r="K467">
        <v>6</v>
      </c>
      <c r="L467" t="s">
        <v>972</v>
      </c>
      <c r="M467" t="s">
        <v>978</v>
      </c>
      <c r="N467" t="s">
        <v>11</v>
      </c>
      <c r="O467">
        <v>2023</v>
      </c>
      <c r="P467" t="str">
        <f t="shared" si="24"/>
        <v>Asian</v>
      </c>
      <c r="Q467">
        <v>33.793635299999998</v>
      </c>
      <c r="R467">
        <v>-84.322179556478247</v>
      </c>
      <c r="S467" t="str">
        <f t="shared" si="22"/>
        <v/>
      </c>
    </row>
    <row r="468" spans="1:19">
      <c r="A468" t="s">
        <v>172</v>
      </c>
      <c r="B468" t="s">
        <v>173</v>
      </c>
      <c r="C468" t="s">
        <v>988</v>
      </c>
      <c r="D468" t="s">
        <v>887</v>
      </c>
      <c r="E468" t="str">
        <f t="shared" si="23"/>
        <v>Department of Medicine/MED-Internal Medicine</v>
      </c>
      <c r="F468" t="s">
        <v>24</v>
      </c>
      <c r="G468" t="s">
        <v>969</v>
      </c>
      <c r="H468" t="s">
        <v>15</v>
      </c>
      <c r="I468" t="s">
        <v>96</v>
      </c>
      <c r="J468" s="1">
        <v>45100</v>
      </c>
      <c r="K468">
        <v>3</v>
      </c>
      <c r="L468" t="s">
        <v>972</v>
      </c>
      <c r="M468" t="s">
        <v>977</v>
      </c>
      <c r="N468" t="s">
        <v>966</v>
      </c>
      <c r="O468">
        <v>2023</v>
      </c>
      <c r="P468" t="str">
        <f t="shared" si="24"/>
        <v>Black or African American</v>
      </c>
      <c r="Q468">
        <v>39.745566599999997</v>
      </c>
      <c r="R468">
        <v>-104.8359873</v>
      </c>
      <c r="S468">
        <f t="shared" si="22"/>
        <v>1</v>
      </c>
    </row>
    <row r="469" spans="1:19">
      <c r="A469" t="s">
        <v>522</v>
      </c>
      <c r="B469" t="s">
        <v>95</v>
      </c>
      <c r="C469" t="s">
        <v>988</v>
      </c>
      <c r="D469" t="s">
        <v>887</v>
      </c>
      <c r="E469" t="str">
        <f t="shared" si="23"/>
        <v>Department of Medicine/MED-Internal Medicine</v>
      </c>
      <c r="F469" t="s">
        <v>18</v>
      </c>
      <c r="G469" s="2" t="s">
        <v>866</v>
      </c>
      <c r="H469" t="s">
        <v>15</v>
      </c>
      <c r="I469" t="s">
        <v>21</v>
      </c>
      <c r="J469" s="1">
        <v>45466</v>
      </c>
      <c r="K469">
        <v>1</v>
      </c>
      <c r="L469" t="s">
        <v>972</v>
      </c>
      <c r="M469" t="s">
        <v>978</v>
      </c>
      <c r="N469" t="s">
        <v>21</v>
      </c>
      <c r="O469">
        <v>2023</v>
      </c>
      <c r="P469" t="str">
        <f t="shared" si="24"/>
        <v>White</v>
      </c>
      <c r="Q469">
        <v>33.793635299999998</v>
      </c>
      <c r="R469">
        <v>-84.322179556478247</v>
      </c>
      <c r="S469" t="str">
        <f t="shared" si="22"/>
        <v/>
      </c>
    </row>
    <row r="470" spans="1:19">
      <c r="A470" t="s">
        <v>832</v>
      </c>
      <c r="B470" t="s">
        <v>833</v>
      </c>
      <c r="C470" t="s">
        <v>998</v>
      </c>
      <c r="D470" t="s">
        <v>949</v>
      </c>
      <c r="E470" t="str">
        <f t="shared" si="23"/>
        <v>Department of Radiation Oncology/RAD-Medical Physics</v>
      </c>
      <c r="F470" t="s">
        <v>18</v>
      </c>
      <c r="G470" s="2" t="s">
        <v>80</v>
      </c>
      <c r="H470" t="s">
        <v>10</v>
      </c>
      <c r="I470" t="s">
        <v>21</v>
      </c>
      <c r="J470" s="1">
        <v>45838</v>
      </c>
      <c r="K470">
        <v>1</v>
      </c>
      <c r="L470" t="s">
        <v>972</v>
      </c>
      <c r="M470" t="s">
        <v>983</v>
      </c>
      <c r="N470" t="s">
        <v>21</v>
      </c>
      <c r="O470">
        <v>2023</v>
      </c>
      <c r="P470" t="str">
        <f t="shared" si="24"/>
        <v>White</v>
      </c>
      <c r="Q470">
        <v>32.874409200000002</v>
      </c>
      <c r="R470">
        <v>-117.23611849678871</v>
      </c>
      <c r="S470" t="str">
        <f t="shared" si="22"/>
        <v/>
      </c>
    </row>
    <row r="471" spans="1:19">
      <c r="A471" t="s">
        <v>649</v>
      </c>
      <c r="B471" t="s">
        <v>339</v>
      </c>
      <c r="C471" t="s">
        <v>996</v>
      </c>
      <c r="D471" t="s">
        <v>961</v>
      </c>
      <c r="E471" t="str">
        <f t="shared" si="23"/>
        <v>Department of Obstetrics &amp; Gynecology/OB/GYN-Reproductive Endocrinology and Infertility</v>
      </c>
      <c r="F471" t="s">
        <v>14</v>
      </c>
      <c r="G471" s="2" t="s">
        <v>865</v>
      </c>
      <c r="H471" t="s">
        <v>10</v>
      </c>
      <c r="I471" t="s">
        <v>21</v>
      </c>
      <c r="J471" s="1">
        <v>45838</v>
      </c>
      <c r="K471">
        <v>6</v>
      </c>
      <c r="L471" t="s">
        <v>972</v>
      </c>
      <c r="M471" t="s">
        <v>983</v>
      </c>
      <c r="N471" t="s">
        <v>21</v>
      </c>
      <c r="O471">
        <v>2023</v>
      </c>
      <c r="P471" t="str">
        <f t="shared" si="24"/>
        <v>White</v>
      </c>
      <c r="Q471">
        <v>32.874409200000002</v>
      </c>
      <c r="R471">
        <v>-117.23611849678871</v>
      </c>
      <c r="S471" t="str">
        <f t="shared" si="22"/>
        <v/>
      </c>
    </row>
    <row r="472" spans="1:19">
      <c r="A472" t="s">
        <v>483</v>
      </c>
      <c r="B472" t="s">
        <v>484</v>
      </c>
      <c r="C472" t="s">
        <v>995</v>
      </c>
      <c r="D472" t="s">
        <v>918</v>
      </c>
      <c r="E472" t="str">
        <f t="shared" si="23"/>
        <v>Department of Neurosurgery/NEUROSURG-Neurological Surgery</v>
      </c>
      <c r="F472" t="s">
        <v>18</v>
      </c>
      <c r="G472" s="2" t="s">
        <v>866</v>
      </c>
      <c r="H472" t="s">
        <v>15</v>
      </c>
      <c r="I472" t="s">
        <v>83</v>
      </c>
      <c r="J472" s="1">
        <v>47657</v>
      </c>
      <c r="K472">
        <v>1</v>
      </c>
      <c r="L472" t="s">
        <v>972</v>
      </c>
      <c r="M472" t="s">
        <v>983</v>
      </c>
      <c r="N472" t="s">
        <v>966</v>
      </c>
      <c r="O472">
        <v>2023</v>
      </c>
      <c r="P472" t="str">
        <f t="shared" si="24"/>
        <v>Hispanic or Latino</v>
      </c>
      <c r="Q472">
        <v>32.874409200000002</v>
      </c>
      <c r="R472">
        <v>-117.23611849678871</v>
      </c>
      <c r="S472">
        <f t="shared" si="22"/>
        <v>1</v>
      </c>
    </row>
    <row r="473" spans="1:19">
      <c r="A473" t="s">
        <v>561</v>
      </c>
      <c r="B473" t="s">
        <v>562</v>
      </c>
      <c r="C473" t="s">
        <v>988</v>
      </c>
      <c r="D473" t="s">
        <v>887</v>
      </c>
      <c r="E473" t="str">
        <f t="shared" si="23"/>
        <v>Department of Medicine/MED-Internal Medicine</v>
      </c>
      <c r="F473" t="s">
        <v>18</v>
      </c>
      <c r="G473" s="2" t="s">
        <v>866</v>
      </c>
      <c r="H473" t="s">
        <v>15</v>
      </c>
      <c r="I473" t="s">
        <v>75</v>
      </c>
      <c r="J473" s="1">
        <v>46196</v>
      </c>
      <c r="K473">
        <v>1</v>
      </c>
      <c r="L473" t="s">
        <v>972</v>
      </c>
      <c r="M473" t="s">
        <v>977</v>
      </c>
      <c r="N473" t="s">
        <v>966</v>
      </c>
      <c r="O473">
        <v>2023</v>
      </c>
      <c r="P473" t="str">
        <f t="shared" si="24"/>
        <v>Hispanic or Latino, White</v>
      </c>
      <c r="Q473">
        <v>39.745566599999997</v>
      </c>
      <c r="R473">
        <v>-104.8359873</v>
      </c>
      <c r="S473">
        <f t="shared" si="22"/>
        <v>1</v>
      </c>
    </row>
    <row r="474" spans="1:19">
      <c r="A474" t="s">
        <v>771</v>
      </c>
      <c r="B474" t="s">
        <v>772</v>
      </c>
      <c r="C474" t="s">
        <v>993</v>
      </c>
      <c r="D474" t="s">
        <v>922</v>
      </c>
      <c r="E474" t="str">
        <f t="shared" si="23"/>
        <v>Department of Neurology/NEURO-Vascular Neurology</v>
      </c>
      <c r="F474" t="s">
        <v>9</v>
      </c>
      <c r="G474" s="2" t="s">
        <v>865</v>
      </c>
      <c r="H474" t="s">
        <v>15</v>
      </c>
      <c r="I474" t="s">
        <v>11</v>
      </c>
      <c r="J474" s="1">
        <v>45473</v>
      </c>
      <c r="K474">
        <v>5</v>
      </c>
      <c r="L474" t="s">
        <v>972</v>
      </c>
      <c r="M474" t="s">
        <v>983</v>
      </c>
      <c r="N474" t="s">
        <v>11</v>
      </c>
      <c r="O474">
        <v>2023</v>
      </c>
      <c r="P474" t="str">
        <f t="shared" si="24"/>
        <v>Asian</v>
      </c>
      <c r="Q474">
        <v>32.874409200000002</v>
      </c>
      <c r="R474">
        <v>-117.23611849678871</v>
      </c>
      <c r="S474" t="str">
        <f t="shared" si="22"/>
        <v/>
      </c>
    </row>
    <row r="475" spans="1:19">
      <c r="A475" t="s">
        <v>272</v>
      </c>
      <c r="B475" t="s">
        <v>276</v>
      </c>
      <c r="C475" t="s">
        <v>994</v>
      </c>
      <c r="D475" t="s">
        <v>893</v>
      </c>
      <c r="E475" t="str">
        <f t="shared" si="23"/>
        <v>Department of Pathology/PATH-Advanced Experimental Pathology Research</v>
      </c>
      <c r="F475" t="s">
        <v>14</v>
      </c>
      <c r="G475" t="s">
        <v>969</v>
      </c>
      <c r="H475" t="s">
        <v>15</v>
      </c>
      <c r="I475" t="s">
        <v>973</v>
      </c>
      <c r="J475" s="1">
        <v>45473</v>
      </c>
      <c r="K475">
        <v>5</v>
      </c>
      <c r="L475" t="s">
        <v>972</v>
      </c>
      <c r="M475" t="s">
        <v>986</v>
      </c>
      <c r="N475" t="s">
        <v>973</v>
      </c>
      <c r="O475">
        <v>2023</v>
      </c>
      <c r="P475" t="str">
        <f t="shared" si="24"/>
        <v>No response/undeclared</v>
      </c>
      <c r="Q475">
        <v>36.005368400000002</v>
      </c>
      <c r="R475">
        <v>-78.938201699999993</v>
      </c>
      <c r="S475" t="str">
        <f t="shared" si="22"/>
        <v/>
      </c>
    </row>
    <row r="476" spans="1:19">
      <c r="A476" t="s">
        <v>540</v>
      </c>
      <c r="B476" t="s">
        <v>541</v>
      </c>
      <c r="C476" t="s">
        <v>988</v>
      </c>
      <c r="D476" t="s">
        <v>887</v>
      </c>
      <c r="E476" t="str">
        <f t="shared" si="23"/>
        <v>Department of Medicine/MED-Internal Medicine</v>
      </c>
      <c r="F476" t="s">
        <v>168</v>
      </c>
      <c r="G476" t="s">
        <v>969</v>
      </c>
      <c r="H476" t="s">
        <v>15</v>
      </c>
      <c r="I476" t="s">
        <v>11</v>
      </c>
      <c r="J476" s="1" t="s">
        <v>40</v>
      </c>
      <c r="K476" t="s">
        <v>40</v>
      </c>
      <c r="L476" t="s">
        <v>972</v>
      </c>
      <c r="M476" t="s">
        <v>981</v>
      </c>
      <c r="N476" t="s">
        <v>11</v>
      </c>
      <c r="O476">
        <v>2023</v>
      </c>
      <c r="P476" t="str">
        <f t="shared" si="24"/>
        <v>Asian</v>
      </c>
      <c r="Q476">
        <v>42.336831850000003</v>
      </c>
      <c r="R476">
        <v>-71.103809211180575</v>
      </c>
      <c r="S476" t="str">
        <f t="shared" si="22"/>
        <v/>
      </c>
    </row>
    <row r="477" spans="1:19">
      <c r="A477" t="s">
        <v>453</v>
      </c>
      <c r="B477" t="s">
        <v>220</v>
      </c>
      <c r="C477" t="s">
        <v>988</v>
      </c>
      <c r="D477" t="s">
        <v>887</v>
      </c>
      <c r="E477" t="str">
        <f t="shared" si="23"/>
        <v>Department of Medicine/MED-Internal Medicine</v>
      </c>
      <c r="F477" t="s">
        <v>29</v>
      </c>
      <c r="G477" s="2" t="s">
        <v>866</v>
      </c>
      <c r="H477" t="s">
        <v>15</v>
      </c>
      <c r="I477" t="s">
        <v>11</v>
      </c>
      <c r="J477" s="1">
        <v>45831</v>
      </c>
      <c r="K477">
        <v>2</v>
      </c>
      <c r="L477" t="s">
        <v>972</v>
      </c>
      <c r="M477" t="s">
        <v>977</v>
      </c>
      <c r="N477" t="s">
        <v>11</v>
      </c>
      <c r="O477">
        <v>2023</v>
      </c>
      <c r="P477" t="str">
        <f t="shared" si="24"/>
        <v>Asian</v>
      </c>
      <c r="Q477">
        <v>39.745566599999997</v>
      </c>
      <c r="R477">
        <v>-104.8359873</v>
      </c>
      <c r="S477" t="str">
        <f t="shared" si="22"/>
        <v/>
      </c>
    </row>
    <row r="478" spans="1:19">
      <c r="A478" t="s">
        <v>66</v>
      </c>
      <c r="B478" t="s">
        <v>67</v>
      </c>
      <c r="C478" t="s">
        <v>991</v>
      </c>
      <c r="D478" t="s">
        <v>898</v>
      </c>
      <c r="E478" t="str">
        <f t="shared" si="23"/>
        <v>Department of Cardiology/CARD-Cardiovascular Disease</v>
      </c>
      <c r="F478" t="s">
        <v>9</v>
      </c>
      <c r="G478" s="2" t="s">
        <v>865</v>
      </c>
      <c r="H478" t="s">
        <v>10</v>
      </c>
      <c r="I478" t="s">
        <v>11</v>
      </c>
      <c r="J478" s="1">
        <v>46203</v>
      </c>
      <c r="K478">
        <v>4</v>
      </c>
      <c r="L478" t="s">
        <v>972</v>
      </c>
      <c r="M478" t="s">
        <v>982</v>
      </c>
      <c r="N478" t="s">
        <v>11</v>
      </c>
      <c r="O478">
        <v>2023</v>
      </c>
      <c r="P478" t="str">
        <f t="shared" si="24"/>
        <v>Asian</v>
      </c>
      <c r="Q478">
        <v>40.841542800000013</v>
      </c>
      <c r="R478">
        <v>-73.94139229999999</v>
      </c>
      <c r="S478" t="str">
        <f t="shared" si="22"/>
        <v/>
      </c>
    </row>
    <row r="479" spans="1:19">
      <c r="A479" t="s">
        <v>454</v>
      </c>
      <c r="B479" t="s">
        <v>455</v>
      </c>
      <c r="C479" t="s">
        <v>988</v>
      </c>
      <c r="D479" t="s">
        <v>887</v>
      </c>
      <c r="E479" t="str">
        <f t="shared" si="23"/>
        <v>Department of Medicine/MED-Internal Medicine</v>
      </c>
      <c r="F479" t="s">
        <v>29</v>
      </c>
      <c r="G479" s="2" t="s">
        <v>866</v>
      </c>
      <c r="H479" t="s">
        <v>15</v>
      </c>
      <c r="I479" t="s">
        <v>11</v>
      </c>
      <c r="J479" s="1">
        <v>45831</v>
      </c>
      <c r="K479">
        <v>2</v>
      </c>
      <c r="L479" t="s">
        <v>972</v>
      </c>
      <c r="M479" t="s">
        <v>977</v>
      </c>
      <c r="N479" t="s">
        <v>11</v>
      </c>
      <c r="O479">
        <v>2023</v>
      </c>
      <c r="P479" t="str">
        <f t="shared" si="24"/>
        <v>Asian</v>
      </c>
      <c r="Q479">
        <v>39.745566599999997</v>
      </c>
      <c r="R479">
        <v>-104.8359873</v>
      </c>
      <c r="S479" t="str">
        <f t="shared" si="22"/>
        <v/>
      </c>
    </row>
    <row r="480" spans="1:19">
      <c r="A480" t="s">
        <v>779</v>
      </c>
      <c r="B480" t="s">
        <v>780</v>
      </c>
      <c r="C480" t="s">
        <v>988</v>
      </c>
      <c r="D480" t="s">
        <v>901</v>
      </c>
      <c r="E480" t="str">
        <f t="shared" si="23"/>
        <v>Department of Medicine/MED-Endocrinology</v>
      </c>
      <c r="F480" t="s">
        <v>9</v>
      </c>
      <c r="G480" s="2" t="s">
        <v>865</v>
      </c>
      <c r="H480" t="s">
        <v>10</v>
      </c>
      <c r="I480" t="s">
        <v>11</v>
      </c>
      <c r="J480" s="1">
        <v>45838</v>
      </c>
      <c r="K480">
        <v>4</v>
      </c>
      <c r="L480" t="s">
        <v>972</v>
      </c>
      <c r="M480" t="s">
        <v>984</v>
      </c>
      <c r="N480" t="s">
        <v>11</v>
      </c>
      <c r="O480">
        <v>2023</v>
      </c>
      <c r="P480" t="str">
        <f t="shared" si="24"/>
        <v>Asian</v>
      </c>
      <c r="Q480">
        <v>34.061138</v>
      </c>
      <c r="R480">
        <v>-118.2057365</v>
      </c>
      <c r="S480" t="str">
        <f t="shared" si="22"/>
        <v/>
      </c>
    </row>
    <row r="481" spans="1:19">
      <c r="A481" t="s">
        <v>753</v>
      </c>
      <c r="B481" t="s">
        <v>754</v>
      </c>
      <c r="C481" t="s">
        <v>989</v>
      </c>
      <c r="D481" t="s">
        <v>889</v>
      </c>
      <c r="E481" t="str">
        <f t="shared" si="23"/>
        <v>Department of Surgery/SURG-Surgery</v>
      </c>
      <c r="F481" t="s">
        <v>29</v>
      </c>
      <c r="G481" s="2" t="s">
        <v>866</v>
      </c>
      <c r="H481" t="s">
        <v>15</v>
      </c>
      <c r="I481" t="s">
        <v>21</v>
      </c>
      <c r="J481" s="1">
        <v>46561</v>
      </c>
      <c r="K481">
        <v>2</v>
      </c>
      <c r="L481" t="s">
        <v>972</v>
      </c>
      <c r="M481" t="s">
        <v>979</v>
      </c>
      <c r="N481" t="s">
        <v>21</v>
      </c>
      <c r="O481">
        <v>2023</v>
      </c>
      <c r="P481" t="str">
        <f t="shared" si="24"/>
        <v>White</v>
      </c>
      <c r="Q481">
        <v>40.443128700000003</v>
      </c>
      <c r="R481">
        <v>-79.961324099999999</v>
      </c>
      <c r="S481" t="str">
        <f t="shared" si="22"/>
        <v/>
      </c>
    </row>
    <row r="482" spans="1:19">
      <c r="A482" t="s">
        <v>571</v>
      </c>
      <c r="B482" t="s">
        <v>572</v>
      </c>
      <c r="C482" t="s">
        <v>988</v>
      </c>
      <c r="D482" t="s">
        <v>887</v>
      </c>
      <c r="E482" t="str">
        <f t="shared" si="23"/>
        <v>Department of Medicine/MED-Internal Medicine</v>
      </c>
      <c r="F482" t="s">
        <v>18</v>
      </c>
      <c r="G482" s="2" t="s">
        <v>866</v>
      </c>
      <c r="H482" t="s">
        <v>15</v>
      </c>
      <c r="I482" t="s">
        <v>21</v>
      </c>
      <c r="J482" s="1">
        <v>46196</v>
      </c>
      <c r="K482">
        <v>1</v>
      </c>
      <c r="L482" t="s">
        <v>972</v>
      </c>
      <c r="M482" t="s">
        <v>978</v>
      </c>
      <c r="N482" t="s">
        <v>21</v>
      </c>
      <c r="O482">
        <v>2023</v>
      </c>
      <c r="P482" t="str">
        <f t="shared" si="24"/>
        <v>White</v>
      </c>
      <c r="Q482">
        <v>33.793635299999998</v>
      </c>
      <c r="R482">
        <v>-84.322179556478247</v>
      </c>
      <c r="S482" t="str">
        <f t="shared" si="22"/>
        <v/>
      </c>
    </row>
    <row r="483" spans="1:19">
      <c r="A483" t="s">
        <v>861</v>
      </c>
      <c r="B483" t="s">
        <v>862</v>
      </c>
      <c r="C483" t="s">
        <v>990</v>
      </c>
      <c r="D483" t="s">
        <v>891</v>
      </c>
      <c r="E483" t="str">
        <f t="shared" si="23"/>
        <v>Department of Anesthesia/ANES-Pain Medicine</v>
      </c>
      <c r="F483" t="s">
        <v>9</v>
      </c>
      <c r="G483" s="2" t="s">
        <v>865</v>
      </c>
      <c r="H483" t="s">
        <v>40</v>
      </c>
      <c r="I483" t="s">
        <v>21</v>
      </c>
      <c r="J483" s="1">
        <v>45504</v>
      </c>
      <c r="K483">
        <v>5</v>
      </c>
      <c r="L483" t="s">
        <v>972</v>
      </c>
      <c r="M483" t="s">
        <v>982</v>
      </c>
      <c r="N483" t="s">
        <v>21</v>
      </c>
      <c r="O483">
        <v>2023</v>
      </c>
      <c r="P483" t="str">
        <f t="shared" si="24"/>
        <v>White</v>
      </c>
      <c r="Q483">
        <v>40.841542800000013</v>
      </c>
      <c r="R483">
        <v>-73.94139229999999</v>
      </c>
      <c r="S483" t="str">
        <f t="shared" si="22"/>
        <v/>
      </c>
    </row>
    <row r="484" spans="1:19">
      <c r="A484" t="s">
        <v>728</v>
      </c>
      <c r="B484" t="s">
        <v>104</v>
      </c>
      <c r="C484" t="s">
        <v>988</v>
      </c>
      <c r="D484" t="s">
        <v>956</v>
      </c>
      <c r="E484" t="str">
        <f t="shared" si="23"/>
        <v>Department of Medicine/MED-Pulmonary/Critical Care Medicine</v>
      </c>
      <c r="F484" t="s">
        <v>14</v>
      </c>
      <c r="G484" s="2" t="s">
        <v>865</v>
      </c>
      <c r="H484" t="s">
        <v>15</v>
      </c>
      <c r="I484" t="s">
        <v>21</v>
      </c>
      <c r="J484" s="1">
        <v>45838</v>
      </c>
      <c r="K484">
        <v>5</v>
      </c>
      <c r="L484" t="s">
        <v>972</v>
      </c>
      <c r="M484" t="s">
        <v>978</v>
      </c>
      <c r="N484" t="s">
        <v>21</v>
      </c>
      <c r="O484">
        <v>2023</v>
      </c>
      <c r="P484" t="str">
        <f t="shared" si="24"/>
        <v>White</v>
      </c>
      <c r="Q484">
        <v>33.793635299999998</v>
      </c>
      <c r="R484">
        <v>-84.322179556478247</v>
      </c>
      <c r="S484" t="str">
        <f t="shared" si="22"/>
        <v/>
      </c>
    </row>
    <row r="485" spans="1:19">
      <c r="A485" t="s">
        <v>140</v>
      </c>
      <c r="B485" t="s">
        <v>141</v>
      </c>
      <c r="C485" t="s">
        <v>990</v>
      </c>
      <c r="D485" t="s">
        <v>954</v>
      </c>
      <c r="E485" t="str">
        <f t="shared" si="23"/>
        <v>Department of Anesthesia/ANES-Regional Anesthesia/Acute Pain Management</v>
      </c>
      <c r="F485" t="s">
        <v>9</v>
      </c>
      <c r="G485" s="2" t="s">
        <v>865</v>
      </c>
      <c r="H485" t="s">
        <v>10</v>
      </c>
      <c r="I485" t="s">
        <v>96</v>
      </c>
      <c r="J485" s="1">
        <v>45504</v>
      </c>
      <c r="K485">
        <v>5</v>
      </c>
      <c r="L485" t="s">
        <v>972</v>
      </c>
      <c r="M485" t="s">
        <v>982</v>
      </c>
      <c r="N485" t="s">
        <v>966</v>
      </c>
      <c r="O485">
        <v>2023</v>
      </c>
      <c r="P485" t="str">
        <f t="shared" si="24"/>
        <v>Black or African American</v>
      </c>
      <c r="Q485">
        <v>40.841542800000013</v>
      </c>
      <c r="R485">
        <v>-73.94139229999999</v>
      </c>
      <c r="S485">
        <f t="shared" si="22"/>
        <v>1</v>
      </c>
    </row>
    <row r="486" spans="1:19">
      <c r="A486" t="s">
        <v>199</v>
      </c>
      <c r="B486" t="s">
        <v>200</v>
      </c>
      <c r="C486" t="s">
        <v>996</v>
      </c>
      <c r="D486" t="s">
        <v>961</v>
      </c>
      <c r="E486" t="str">
        <f t="shared" si="23"/>
        <v>Department of Obstetrics &amp; Gynecology/OB/GYN-Reproductive Endocrinology and Infertility</v>
      </c>
      <c r="F486" t="s">
        <v>152</v>
      </c>
      <c r="G486" s="2" t="s">
        <v>865</v>
      </c>
      <c r="H486" t="s">
        <v>10</v>
      </c>
      <c r="I486" t="s">
        <v>21</v>
      </c>
      <c r="J486" s="1">
        <v>45473</v>
      </c>
      <c r="K486">
        <v>7</v>
      </c>
      <c r="L486" t="s">
        <v>972</v>
      </c>
      <c r="M486" t="s">
        <v>983</v>
      </c>
      <c r="N486" t="s">
        <v>21</v>
      </c>
      <c r="O486">
        <v>2023</v>
      </c>
      <c r="P486" t="str">
        <f t="shared" si="24"/>
        <v>White</v>
      </c>
      <c r="Q486">
        <v>32.874409200000002</v>
      </c>
      <c r="R486">
        <v>-117.23611849678871</v>
      </c>
      <c r="S486" t="str">
        <f t="shared" si="22"/>
        <v/>
      </c>
    </row>
    <row r="487" spans="1:19">
      <c r="A487" t="s">
        <v>479</v>
      </c>
      <c r="B487" t="s">
        <v>239</v>
      </c>
      <c r="C487" t="s">
        <v>1000</v>
      </c>
      <c r="D487" t="s">
        <v>916</v>
      </c>
      <c r="E487" t="str">
        <f t="shared" si="23"/>
        <v>Department of Imaging/IMG-Diagnostic Radiology</v>
      </c>
      <c r="F487" t="s">
        <v>74</v>
      </c>
      <c r="G487" s="2" t="s">
        <v>866</v>
      </c>
      <c r="H487" t="s">
        <v>10</v>
      </c>
      <c r="I487" t="s">
        <v>11</v>
      </c>
      <c r="J487" s="1">
        <v>45473</v>
      </c>
      <c r="K487">
        <v>5</v>
      </c>
      <c r="L487" t="s">
        <v>972</v>
      </c>
      <c r="M487" t="s">
        <v>981</v>
      </c>
      <c r="N487" t="s">
        <v>11</v>
      </c>
      <c r="O487">
        <v>2023</v>
      </c>
      <c r="P487" t="str">
        <f t="shared" si="24"/>
        <v>Asian</v>
      </c>
      <c r="Q487">
        <v>42.336831850000003</v>
      </c>
      <c r="R487">
        <v>-71.103809211180575</v>
      </c>
      <c r="S487" t="str">
        <f t="shared" si="22"/>
        <v/>
      </c>
    </row>
    <row r="488" spans="1:19">
      <c r="A488" t="s">
        <v>479</v>
      </c>
      <c r="B488" t="s">
        <v>480</v>
      </c>
      <c r="C488" t="s">
        <v>988</v>
      </c>
      <c r="D488" t="s">
        <v>887</v>
      </c>
      <c r="E488" t="str">
        <f t="shared" si="23"/>
        <v>Department of Medicine/MED-Internal Medicine</v>
      </c>
      <c r="F488" t="s">
        <v>29</v>
      </c>
      <c r="G488" s="2" t="s">
        <v>866</v>
      </c>
      <c r="H488" t="s">
        <v>10</v>
      </c>
      <c r="I488" t="s">
        <v>11</v>
      </c>
      <c r="J488" s="1">
        <v>45831</v>
      </c>
      <c r="K488">
        <v>2</v>
      </c>
      <c r="L488" t="s">
        <v>972</v>
      </c>
      <c r="M488" t="s">
        <v>984</v>
      </c>
      <c r="N488" t="s">
        <v>11</v>
      </c>
      <c r="O488">
        <v>2023</v>
      </c>
      <c r="P488" t="str">
        <f t="shared" si="24"/>
        <v>Asian</v>
      </c>
      <c r="Q488">
        <v>34.061138</v>
      </c>
      <c r="R488">
        <v>-118.2057365</v>
      </c>
      <c r="S488" t="str">
        <f t="shared" si="22"/>
        <v/>
      </c>
    </row>
    <row r="489" spans="1:19">
      <c r="A489" t="s">
        <v>101</v>
      </c>
      <c r="B489" t="s">
        <v>102</v>
      </c>
      <c r="C489" t="s">
        <v>989</v>
      </c>
      <c r="D489" t="s">
        <v>955</v>
      </c>
      <c r="E489" t="str">
        <f t="shared" si="23"/>
        <v>Department of Surgery/SURG-Advanced GI MIS/Bariatric</v>
      </c>
      <c r="F489" t="s">
        <v>9</v>
      </c>
      <c r="G489" t="s">
        <v>969</v>
      </c>
      <c r="H489" t="s">
        <v>15</v>
      </c>
      <c r="I489" t="s">
        <v>11</v>
      </c>
      <c r="J489" s="1">
        <v>45504</v>
      </c>
      <c r="K489">
        <v>6</v>
      </c>
      <c r="L489" t="s">
        <v>972</v>
      </c>
      <c r="M489" t="s">
        <v>986</v>
      </c>
      <c r="N489" t="s">
        <v>11</v>
      </c>
      <c r="O489">
        <v>2023</v>
      </c>
      <c r="P489" t="str">
        <f t="shared" si="24"/>
        <v>Asian</v>
      </c>
      <c r="Q489">
        <v>36.005368400000002</v>
      </c>
      <c r="R489">
        <v>-78.938201699999993</v>
      </c>
      <c r="S489" t="str">
        <f t="shared" si="22"/>
        <v/>
      </c>
    </row>
    <row r="490" spans="1:19">
      <c r="A490" t="s">
        <v>101</v>
      </c>
      <c r="B490" t="s">
        <v>528</v>
      </c>
      <c r="C490" t="s">
        <v>989</v>
      </c>
      <c r="D490" t="s">
        <v>889</v>
      </c>
      <c r="E490" t="str">
        <f t="shared" si="23"/>
        <v>Department of Surgery/SURG-Surgery</v>
      </c>
      <c r="F490" t="s">
        <v>18</v>
      </c>
      <c r="G490" s="2" t="s">
        <v>866</v>
      </c>
      <c r="H490" t="s">
        <v>10</v>
      </c>
      <c r="I490" t="s">
        <v>11</v>
      </c>
      <c r="J490" s="1">
        <v>46927</v>
      </c>
      <c r="K490">
        <v>1</v>
      </c>
      <c r="L490" t="s">
        <v>972</v>
      </c>
      <c r="M490" t="s">
        <v>986</v>
      </c>
      <c r="N490" t="s">
        <v>11</v>
      </c>
      <c r="O490">
        <v>2023</v>
      </c>
      <c r="P490" t="str">
        <f t="shared" si="24"/>
        <v>Asian</v>
      </c>
      <c r="Q490">
        <v>36.005368400000002</v>
      </c>
      <c r="R490">
        <v>-78.938201699999993</v>
      </c>
      <c r="S490" t="str">
        <f t="shared" si="22"/>
        <v/>
      </c>
    </row>
    <row r="491" spans="1:19">
      <c r="A491" t="s">
        <v>527</v>
      </c>
      <c r="B491" t="s">
        <v>411</v>
      </c>
      <c r="C491" t="s">
        <v>989</v>
      </c>
      <c r="D491" t="s">
        <v>889</v>
      </c>
      <c r="E491" t="str">
        <f t="shared" si="23"/>
        <v>Department of Surgery/SURG-Surgery</v>
      </c>
      <c r="F491" t="s">
        <v>18</v>
      </c>
      <c r="G491" s="2" t="s">
        <v>866</v>
      </c>
      <c r="H491" t="s">
        <v>10</v>
      </c>
      <c r="I491" t="s">
        <v>163</v>
      </c>
      <c r="J491" s="1">
        <v>46927</v>
      </c>
      <c r="K491">
        <v>1</v>
      </c>
      <c r="L491" t="s">
        <v>972</v>
      </c>
      <c r="M491" t="s">
        <v>979</v>
      </c>
      <c r="N491" t="s">
        <v>11</v>
      </c>
      <c r="O491">
        <v>2023</v>
      </c>
      <c r="P491" t="s">
        <v>11</v>
      </c>
      <c r="Q491">
        <v>40.443128700000003</v>
      </c>
      <c r="R491">
        <v>-79.961324099999999</v>
      </c>
      <c r="S491" t="str">
        <f t="shared" si="22"/>
        <v/>
      </c>
    </row>
    <row r="492" spans="1:19">
      <c r="A492" t="s">
        <v>174</v>
      </c>
      <c r="B492" t="s">
        <v>175</v>
      </c>
      <c r="C492" t="s">
        <v>988</v>
      </c>
      <c r="D492" t="s">
        <v>887</v>
      </c>
      <c r="E492" t="str">
        <f t="shared" si="23"/>
        <v>Department of Medicine/MED-Internal Medicine</v>
      </c>
      <c r="F492" t="s">
        <v>24</v>
      </c>
      <c r="G492" t="s">
        <v>969</v>
      </c>
      <c r="H492" t="s">
        <v>15</v>
      </c>
      <c r="I492" t="s">
        <v>21</v>
      </c>
      <c r="J492" s="1">
        <v>45100</v>
      </c>
      <c r="K492">
        <v>3</v>
      </c>
      <c r="L492" t="s">
        <v>972</v>
      </c>
      <c r="M492" t="s">
        <v>977</v>
      </c>
      <c r="N492" t="s">
        <v>21</v>
      </c>
      <c r="O492">
        <v>2023</v>
      </c>
      <c r="P492" t="str">
        <f t="shared" si="24"/>
        <v>White</v>
      </c>
      <c r="Q492">
        <v>39.745566599999997</v>
      </c>
      <c r="R492">
        <v>-104.8359873</v>
      </c>
      <c r="S492" t="str">
        <f t="shared" si="22"/>
        <v/>
      </c>
    </row>
    <row r="493" spans="1:19">
      <c r="A493" t="s">
        <v>94</v>
      </c>
      <c r="B493" t="s">
        <v>95</v>
      </c>
      <c r="C493" t="s">
        <v>997</v>
      </c>
      <c r="D493" t="s">
        <v>888</v>
      </c>
      <c r="E493" t="str">
        <f t="shared" si="23"/>
        <v>Department of Orthopedic Surgery/ORTHO-Orthopaedic Surgery</v>
      </c>
      <c r="F493" t="s">
        <v>74</v>
      </c>
      <c r="G493" s="2" t="s">
        <v>866</v>
      </c>
      <c r="H493" t="s">
        <v>15</v>
      </c>
      <c r="I493" t="s">
        <v>96</v>
      </c>
      <c r="J493" s="1">
        <v>45838</v>
      </c>
      <c r="K493">
        <v>4</v>
      </c>
      <c r="L493" t="s">
        <v>972</v>
      </c>
      <c r="M493" t="s">
        <v>983</v>
      </c>
      <c r="N493" t="s">
        <v>966</v>
      </c>
      <c r="O493">
        <v>2023</v>
      </c>
      <c r="P493" t="str">
        <f t="shared" si="24"/>
        <v>Black or African American</v>
      </c>
      <c r="Q493">
        <v>32.874409200000002</v>
      </c>
      <c r="R493">
        <v>-117.23611849678871</v>
      </c>
      <c r="S493">
        <f t="shared" si="22"/>
        <v>1</v>
      </c>
    </row>
    <row r="494" spans="1:19">
      <c r="A494" t="s">
        <v>492</v>
      </c>
      <c r="B494" t="s">
        <v>493</v>
      </c>
      <c r="C494" t="s">
        <v>990</v>
      </c>
      <c r="D494" t="s">
        <v>886</v>
      </c>
      <c r="E494" t="str">
        <f t="shared" si="23"/>
        <v>Department of Anesthesia/ANES-Anesthesiology</v>
      </c>
      <c r="F494" t="s">
        <v>18</v>
      </c>
      <c r="G494" s="2" t="s">
        <v>866</v>
      </c>
      <c r="H494" t="s">
        <v>10</v>
      </c>
      <c r="I494" t="s">
        <v>21</v>
      </c>
      <c r="J494" s="1">
        <v>46568</v>
      </c>
      <c r="K494">
        <v>1</v>
      </c>
      <c r="L494" t="s">
        <v>972</v>
      </c>
      <c r="M494" t="s">
        <v>965</v>
      </c>
      <c r="N494" t="s">
        <v>21</v>
      </c>
      <c r="O494">
        <v>2023</v>
      </c>
      <c r="P494" t="str">
        <f t="shared" si="24"/>
        <v>White</v>
      </c>
      <c r="Q494">
        <v>40.347099999999998</v>
      </c>
      <c r="R494">
        <v>-74.661600000000007</v>
      </c>
      <c r="S494" t="str">
        <f t="shared" si="22"/>
        <v/>
      </c>
    </row>
    <row r="495" spans="1:19">
      <c r="A495" t="s">
        <v>486</v>
      </c>
      <c r="B495" t="s">
        <v>487</v>
      </c>
      <c r="C495" t="s">
        <v>990</v>
      </c>
      <c r="D495" t="s">
        <v>886</v>
      </c>
      <c r="E495" t="str">
        <f t="shared" si="23"/>
        <v>Department of Anesthesia/ANES-Anesthesiology</v>
      </c>
      <c r="F495" t="s">
        <v>18</v>
      </c>
      <c r="G495" s="2" t="s">
        <v>866</v>
      </c>
      <c r="H495" t="s">
        <v>10</v>
      </c>
      <c r="I495" t="s">
        <v>11</v>
      </c>
      <c r="J495" s="1">
        <v>46568</v>
      </c>
      <c r="K495">
        <v>1</v>
      </c>
      <c r="L495" t="s">
        <v>972</v>
      </c>
      <c r="M495" t="s">
        <v>985</v>
      </c>
      <c r="N495" t="s">
        <v>11</v>
      </c>
      <c r="O495">
        <v>2023</v>
      </c>
      <c r="P495" t="str">
        <f t="shared" si="24"/>
        <v>Asian</v>
      </c>
      <c r="Q495">
        <v>37.4582762</v>
      </c>
      <c r="R495">
        <v>-122.1739822</v>
      </c>
      <c r="S495" t="str">
        <f t="shared" si="22"/>
        <v/>
      </c>
    </row>
    <row r="496" spans="1:19">
      <c r="A496" t="s">
        <v>577</v>
      </c>
      <c r="B496" t="s">
        <v>303</v>
      </c>
      <c r="C496" t="s">
        <v>990</v>
      </c>
      <c r="D496" t="s">
        <v>886</v>
      </c>
      <c r="E496" t="str">
        <f t="shared" si="23"/>
        <v>Department of Anesthesia/ANES-Anesthesiology</v>
      </c>
      <c r="F496" t="s">
        <v>74</v>
      </c>
      <c r="G496" s="2" t="s">
        <v>866</v>
      </c>
      <c r="H496" t="s">
        <v>15</v>
      </c>
      <c r="I496" t="s">
        <v>80</v>
      </c>
      <c r="J496" s="1">
        <v>45473</v>
      </c>
      <c r="K496">
        <v>4</v>
      </c>
      <c r="L496" t="s">
        <v>972</v>
      </c>
      <c r="M496" t="s">
        <v>965</v>
      </c>
      <c r="N496" t="s">
        <v>80</v>
      </c>
      <c r="O496">
        <v>2023</v>
      </c>
      <c r="P496" t="str">
        <f t="shared" si="24"/>
        <v>Other</v>
      </c>
      <c r="Q496">
        <v>40.347099999999998</v>
      </c>
      <c r="R496">
        <v>-74.661600000000007</v>
      </c>
      <c r="S496" t="str">
        <f t="shared" si="22"/>
        <v/>
      </c>
    </row>
    <row r="497" spans="1:19">
      <c r="A497" t="s">
        <v>853</v>
      </c>
      <c r="B497" t="s">
        <v>854</v>
      </c>
      <c r="C497" t="s">
        <v>989</v>
      </c>
      <c r="D497" t="s">
        <v>889</v>
      </c>
      <c r="E497" t="str">
        <f t="shared" si="23"/>
        <v>Department of Surgery/SURG-Surgery</v>
      </c>
      <c r="F497" t="s">
        <v>225</v>
      </c>
      <c r="G497" s="2" t="s">
        <v>866</v>
      </c>
      <c r="H497" t="s">
        <v>10</v>
      </c>
      <c r="I497" t="s">
        <v>973</v>
      </c>
      <c r="J497" s="1">
        <v>45466</v>
      </c>
      <c r="K497">
        <v>5</v>
      </c>
      <c r="L497" t="s">
        <v>972</v>
      </c>
      <c r="M497" t="s">
        <v>986</v>
      </c>
      <c r="N497" t="s">
        <v>973</v>
      </c>
      <c r="O497">
        <v>2023</v>
      </c>
      <c r="P497" t="str">
        <f t="shared" si="24"/>
        <v>No response/undeclared</v>
      </c>
      <c r="Q497">
        <v>36.005368400000002</v>
      </c>
      <c r="R497">
        <v>-78.938201699999993</v>
      </c>
      <c r="S497" t="str">
        <f t="shared" si="22"/>
        <v/>
      </c>
    </row>
    <row r="498" spans="1:19">
      <c r="A498" t="s">
        <v>749</v>
      </c>
      <c r="B498" t="s">
        <v>750</v>
      </c>
      <c r="C498" t="s">
        <v>990</v>
      </c>
      <c r="D498" t="s">
        <v>886</v>
      </c>
      <c r="E498" t="str">
        <f t="shared" si="23"/>
        <v>Department of Anesthesia/ANES-Anesthesiology</v>
      </c>
      <c r="F498" t="s">
        <v>29</v>
      </c>
      <c r="G498" s="2" t="s">
        <v>866</v>
      </c>
      <c r="H498" t="s">
        <v>15</v>
      </c>
      <c r="I498" t="s">
        <v>21</v>
      </c>
      <c r="J498" s="1">
        <v>46203</v>
      </c>
      <c r="K498">
        <v>2</v>
      </c>
      <c r="L498" t="s">
        <v>972</v>
      </c>
      <c r="M498" t="s">
        <v>965</v>
      </c>
      <c r="N498" t="s">
        <v>21</v>
      </c>
      <c r="O498">
        <v>2023</v>
      </c>
      <c r="P498" t="str">
        <f t="shared" si="24"/>
        <v>White</v>
      </c>
      <c r="Q498">
        <v>40.347099999999998</v>
      </c>
      <c r="R498">
        <v>-74.661600000000007</v>
      </c>
      <c r="S498" t="str">
        <f t="shared" si="22"/>
        <v/>
      </c>
    </row>
    <row r="499" spans="1:19">
      <c r="A499" t="s">
        <v>387</v>
      </c>
      <c r="B499" t="s">
        <v>388</v>
      </c>
      <c r="C499" t="s">
        <v>988</v>
      </c>
      <c r="D499" t="s">
        <v>887</v>
      </c>
      <c r="E499" t="str">
        <f t="shared" si="23"/>
        <v>Department of Medicine/MED-Internal Medicine</v>
      </c>
      <c r="F499" t="s">
        <v>183</v>
      </c>
      <c r="G499" s="2" t="s">
        <v>866</v>
      </c>
      <c r="H499" t="s">
        <v>15</v>
      </c>
      <c r="I499" t="s">
        <v>11</v>
      </c>
      <c r="J499" s="1">
        <v>45466</v>
      </c>
      <c r="K499">
        <v>3</v>
      </c>
      <c r="L499" t="s">
        <v>972</v>
      </c>
      <c r="M499" t="s">
        <v>977</v>
      </c>
      <c r="N499" t="s">
        <v>11</v>
      </c>
      <c r="O499">
        <v>2023</v>
      </c>
      <c r="P499" t="str">
        <f t="shared" si="24"/>
        <v>Asian</v>
      </c>
      <c r="Q499">
        <v>39.745566599999997</v>
      </c>
      <c r="R499">
        <v>-104.8359873</v>
      </c>
      <c r="S499" t="str">
        <f t="shared" si="22"/>
        <v/>
      </c>
    </row>
    <row r="500" spans="1:19">
      <c r="A500" t="s">
        <v>652</v>
      </c>
      <c r="B500" t="s">
        <v>653</v>
      </c>
      <c r="C500" t="s">
        <v>988</v>
      </c>
      <c r="D500" t="s">
        <v>903</v>
      </c>
      <c r="E500" t="str">
        <f t="shared" si="23"/>
        <v>Department of Medicine/MED-Gastroenterology</v>
      </c>
      <c r="F500" t="s">
        <v>14</v>
      </c>
      <c r="G500" s="2" t="s">
        <v>865</v>
      </c>
      <c r="H500" t="s">
        <v>15</v>
      </c>
      <c r="I500" t="s">
        <v>11</v>
      </c>
      <c r="J500" s="1">
        <v>45838</v>
      </c>
      <c r="K500">
        <v>4</v>
      </c>
      <c r="L500" t="s">
        <v>972</v>
      </c>
      <c r="M500" t="s">
        <v>984</v>
      </c>
      <c r="N500" t="s">
        <v>11</v>
      </c>
      <c r="O500">
        <v>2023</v>
      </c>
      <c r="P500" t="str">
        <f t="shared" si="24"/>
        <v>Asian</v>
      </c>
      <c r="Q500">
        <v>34.061138</v>
      </c>
      <c r="R500">
        <v>-118.2057365</v>
      </c>
      <c r="S500" t="str">
        <f t="shared" si="22"/>
        <v/>
      </c>
    </row>
    <row r="501" spans="1:19">
      <c r="A501" t="s">
        <v>727</v>
      </c>
      <c r="B501" t="s">
        <v>118</v>
      </c>
      <c r="C501" t="s">
        <v>988</v>
      </c>
      <c r="D501" t="s">
        <v>956</v>
      </c>
      <c r="E501" t="str">
        <f t="shared" si="23"/>
        <v>Department of Medicine/MED-Pulmonary/Critical Care Medicine</v>
      </c>
      <c r="F501" t="s">
        <v>14</v>
      </c>
      <c r="G501" s="2" t="s">
        <v>865</v>
      </c>
      <c r="H501" t="s">
        <v>15</v>
      </c>
      <c r="I501" t="s">
        <v>163</v>
      </c>
      <c r="J501" s="1">
        <v>45838</v>
      </c>
      <c r="K501">
        <v>5</v>
      </c>
      <c r="L501" t="s">
        <v>972</v>
      </c>
      <c r="M501" t="s">
        <v>978</v>
      </c>
      <c r="N501" t="s">
        <v>11</v>
      </c>
      <c r="O501">
        <v>2023</v>
      </c>
      <c r="P501" t="s">
        <v>11</v>
      </c>
      <c r="Q501">
        <v>33.793635299999998</v>
      </c>
      <c r="R501">
        <v>-84.322179556478247</v>
      </c>
      <c r="S501" t="str">
        <f t="shared" si="22"/>
        <v/>
      </c>
    </row>
    <row r="502" spans="1:19">
      <c r="A502" t="s">
        <v>863</v>
      </c>
      <c r="B502" t="s">
        <v>864</v>
      </c>
      <c r="C502" t="s">
        <v>990</v>
      </c>
      <c r="D502" t="s">
        <v>891</v>
      </c>
      <c r="E502" t="str">
        <f t="shared" si="23"/>
        <v>Department of Anesthesia/ANES-Pain Medicine</v>
      </c>
      <c r="F502" t="s">
        <v>9</v>
      </c>
      <c r="G502" s="2" t="s">
        <v>865</v>
      </c>
      <c r="H502" t="s">
        <v>15</v>
      </c>
      <c r="I502" t="s">
        <v>11</v>
      </c>
      <c r="J502" s="1">
        <v>45504</v>
      </c>
      <c r="K502">
        <v>5</v>
      </c>
      <c r="L502" t="s">
        <v>972</v>
      </c>
      <c r="M502" t="s">
        <v>982</v>
      </c>
      <c r="N502" t="s">
        <v>11</v>
      </c>
      <c r="O502">
        <v>2023</v>
      </c>
      <c r="P502" t="str">
        <f t="shared" si="24"/>
        <v>Asian</v>
      </c>
      <c r="Q502">
        <v>40.841542800000013</v>
      </c>
      <c r="R502">
        <v>-73.94139229999999</v>
      </c>
      <c r="S502" t="str">
        <f t="shared" si="22"/>
        <v/>
      </c>
    </row>
    <row r="503" spans="1:19">
      <c r="A503" t="s">
        <v>192</v>
      </c>
      <c r="B503" t="s">
        <v>42</v>
      </c>
      <c r="C503" t="s">
        <v>991</v>
      </c>
      <c r="D503" t="s">
        <v>897</v>
      </c>
      <c r="E503" t="str">
        <f t="shared" si="23"/>
        <v>Department of Cardiology/CARD-Adv Heart Failure and Transplant Cardiology</v>
      </c>
      <c r="F503" t="s">
        <v>9</v>
      </c>
      <c r="G503" s="2" t="s">
        <v>865</v>
      </c>
      <c r="H503" t="s">
        <v>15</v>
      </c>
      <c r="I503" t="s">
        <v>11</v>
      </c>
      <c r="J503" s="1">
        <v>45473</v>
      </c>
      <c r="K503">
        <v>7</v>
      </c>
      <c r="L503" t="s">
        <v>972</v>
      </c>
      <c r="M503" t="s">
        <v>982</v>
      </c>
      <c r="N503" t="s">
        <v>11</v>
      </c>
      <c r="O503">
        <v>2023</v>
      </c>
      <c r="P503" t="str">
        <f t="shared" si="24"/>
        <v>Asian</v>
      </c>
      <c r="Q503">
        <v>40.841542800000013</v>
      </c>
      <c r="R503">
        <v>-73.94139229999999</v>
      </c>
      <c r="S503" t="str">
        <f t="shared" si="22"/>
        <v/>
      </c>
    </row>
    <row r="504" spans="1:19">
      <c r="A504" t="s">
        <v>192</v>
      </c>
      <c r="B504" t="s">
        <v>607</v>
      </c>
      <c r="C504" t="s">
        <v>991</v>
      </c>
      <c r="D504" t="s">
        <v>898</v>
      </c>
      <c r="E504" t="str">
        <f t="shared" si="23"/>
        <v>Department of Cardiology/CARD-Cardiovascular Disease</v>
      </c>
      <c r="F504" t="s">
        <v>152</v>
      </c>
      <c r="G504" s="2" t="s">
        <v>865</v>
      </c>
      <c r="H504" t="s">
        <v>15</v>
      </c>
      <c r="I504" t="s">
        <v>11</v>
      </c>
      <c r="J504" s="1">
        <v>45473</v>
      </c>
      <c r="K504">
        <v>6</v>
      </c>
      <c r="L504" t="s">
        <v>972</v>
      </c>
      <c r="M504" t="s">
        <v>982</v>
      </c>
      <c r="N504" t="s">
        <v>11</v>
      </c>
      <c r="O504">
        <v>2023</v>
      </c>
      <c r="P504" t="str">
        <f t="shared" si="24"/>
        <v>Asian</v>
      </c>
      <c r="Q504">
        <v>40.841542800000013</v>
      </c>
      <c r="R504">
        <v>-73.94139229999999</v>
      </c>
      <c r="S504" t="str">
        <f t="shared" si="22"/>
        <v/>
      </c>
    </row>
    <row r="505" spans="1:19">
      <c r="A505" t="s">
        <v>192</v>
      </c>
      <c r="B505" t="s">
        <v>193</v>
      </c>
      <c r="C505" t="s">
        <v>998</v>
      </c>
      <c r="D505" t="s">
        <v>895</v>
      </c>
      <c r="E505" t="str">
        <f t="shared" si="23"/>
        <v>Department of Radiation Oncology/RAD-Radiation Oncology</v>
      </c>
      <c r="F505" t="s">
        <v>183</v>
      </c>
      <c r="G505" s="2" t="s">
        <v>866</v>
      </c>
      <c r="H505" t="s">
        <v>15</v>
      </c>
      <c r="I505" t="s">
        <v>11</v>
      </c>
      <c r="J505" s="1">
        <v>45838</v>
      </c>
      <c r="K505">
        <v>4</v>
      </c>
      <c r="L505" t="s">
        <v>972</v>
      </c>
      <c r="M505" t="s">
        <v>986</v>
      </c>
      <c r="N505" t="s">
        <v>11</v>
      </c>
      <c r="O505">
        <v>2023</v>
      </c>
      <c r="P505" t="str">
        <f t="shared" si="24"/>
        <v>Asian</v>
      </c>
      <c r="Q505">
        <v>36.005368400000002</v>
      </c>
      <c r="R505">
        <v>-78.938201699999993</v>
      </c>
      <c r="S505" t="str">
        <f t="shared" si="22"/>
        <v/>
      </c>
    </row>
    <row r="506" spans="1:19">
      <c r="A506" t="s">
        <v>192</v>
      </c>
      <c r="B506" t="s">
        <v>755</v>
      </c>
      <c r="C506" t="s">
        <v>989</v>
      </c>
      <c r="D506" t="s">
        <v>889</v>
      </c>
      <c r="E506" t="str">
        <f t="shared" si="23"/>
        <v>Department of Surgery/SURG-Surgery</v>
      </c>
      <c r="F506" t="s">
        <v>29</v>
      </c>
      <c r="G506" s="2" t="s">
        <v>866</v>
      </c>
      <c r="H506" t="s">
        <v>10</v>
      </c>
      <c r="I506" t="s">
        <v>11</v>
      </c>
      <c r="J506" s="1">
        <v>46561</v>
      </c>
      <c r="K506">
        <v>2</v>
      </c>
      <c r="L506" t="s">
        <v>972</v>
      </c>
      <c r="M506" t="s">
        <v>986</v>
      </c>
      <c r="N506" t="s">
        <v>11</v>
      </c>
      <c r="O506">
        <v>2023</v>
      </c>
      <c r="P506" t="str">
        <f t="shared" si="24"/>
        <v>Asian</v>
      </c>
      <c r="Q506">
        <v>36.005368400000002</v>
      </c>
      <c r="R506">
        <v>-78.938201699999993</v>
      </c>
      <c r="S506" t="str">
        <f t="shared" si="22"/>
        <v/>
      </c>
    </row>
    <row r="507" spans="1:19">
      <c r="A507" t="s">
        <v>830</v>
      </c>
      <c r="B507" t="s">
        <v>831</v>
      </c>
      <c r="C507" t="s">
        <v>995</v>
      </c>
      <c r="D507" t="s">
        <v>928</v>
      </c>
      <c r="E507" t="str">
        <f t="shared" si="23"/>
        <v>Department of Neurosurgery/NEUROSURG-Endovascular Neurosurgery</v>
      </c>
      <c r="F507" t="s">
        <v>9</v>
      </c>
      <c r="G507" t="s">
        <v>969</v>
      </c>
      <c r="H507" t="s">
        <v>15</v>
      </c>
      <c r="I507" t="s">
        <v>11</v>
      </c>
      <c r="J507" s="1">
        <v>45838</v>
      </c>
      <c r="K507">
        <v>7</v>
      </c>
      <c r="L507" t="s">
        <v>972</v>
      </c>
      <c r="M507" t="s">
        <v>983</v>
      </c>
      <c r="N507" t="s">
        <v>11</v>
      </c>
      <c r="O507">
        <v>2023</v>
      </c>
      <c r="P507" t="str">
        <f t="shared" si="24"/>
        <v>Asian</v>
      </c>
      <c r="Q507">
        <v>32.874409200000002</v>
      </c>
      <c r="R507">
        <v>-117.23611849678871</v>
      </c>
      <c r="S507" t="str">
        <f t="shared" si="22"/>
        <v/>
      </c>
    </row>
  </sheetData>
  <autoFilter ref="A1:S507" xr:uid="{00000000-0001-0000-0000-000000000000}"/>
  <sortState xmlns:xlrd2="http://schemas.microsoft.com/office/spreadsheetml/2017/richdata2" ref="A2:K510">
    <sortCondition ref="I2:I510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282B-A18E-6C44-A96A-C4213A4AB06F}">
  <dimension ref="A1:F26"/>
  <sheetViews>
    <sheetView workbookViewId="0">
      <selection activeCell="F23" sqref="F23"/>
    </sheetView>
  </sheetViews>
  <sheetFormatPr defaultColWidth="11.42578125" defaultRowHeight="15"/>
  <cols>
    <col min="1" max="1" width="32.5703125" customWidth="1"/>
  </cols>
  <sheetData>
    <row r="1" spans="1:3">
      <c r="A1" s="2" t="s">
        <v>873</v>
      </c>
      <c r="B1">
        <v>14</v>
      </c>
    </row>
    <row r="2" spans="1:3">
      <c r="A2" s="2" t="s">
        <v>874</v>
      </c>
      <c r="B2">
        <v>2</v>
      </c>
    </row>
    <row r="3" spans="1:3">
      <c r="A3" s="2" t="s">
        <v>875</v>
      </c>
      <c r="B3">
        <v>41</v>
      </c>
    </row>
    <row r="4" spans="1:3">
      <c r="A4" s="2" t="s">
        <v>876</v>
      </c>
      <c r="B4">
        <v>31</v>
      </c>
    </row>
    <row r="5" spans="1:3">
      <c r="A5" s="2"/>
    </row>
    <row r="6" spans="1:3">
      <c r="A6" s="2" t="s">
        <v>869</v>
      </c>
      <c r="B6">
        <v>317</v>
      </c>
    </row>
    <row r="7" spans="1:3">
      <c r="A7" s="2" t="s">
        <v>870</v>
      </c>
      <c r="B7">
        <v>7</v>
      </c>
    </row>
    <row r="8" spans="1:3">
      <c r="A8" s="2" t="s">
        <v>867</v>
      </c>
      <c r="B8">
        <v>128</v>
      </c>
    </row>
    <row r="9" spans="1:3">
      <c r="A9" s="2" t="s">
        <v>868</v>
      </c>
      <c r="B9">
        <v>54</v>
      </c>
    </row>
    <row r="10" spans="1:3">
      <c r="A10" s="2" t="s">
        <v>872</v>
      </c>
      <c r="B10">
        <f>SUM(B6:B9)</f>
        <v>506</v>
      </c>
    </row>
    <row r="11" spans="1:3">
      <c r="A11" s="2"/>
    </row>
    <row r="12" spans="1:3">
      <c r="A12" s="2" t="s">
        <v>10</v>
      </c>
      <c r="B12">
        <v>216</v>
      </c>
      <c r="C12" s="3">
        <f>(B12/B15)</f>
        <v>0.4268774703557312</v>
      </c>
    </row>
    <row r="13" spans="1:3">
      <c r="A13" s="2" t="s">
        <v>15</v>
      </c>
      <c r="B13">
        <v>288</v>
      </c>
      <c r="C13" s="3">
        <f>(B13/B15)</f>
        <v>0.56916996047430835</v>
      </c>
    </row>
    <row r="14" spans="1:3">
      <c r="A14" s="2" t="s">
        <v>877</v>
      </c>
      <c r="B14">
        <v>2</v>
      </c>
      <c r="C14" s="3">
        <f>(B14/B15)</f>
        <v>3.952569169960474E-3</v>
      </c>
    </row>
    <row r="15" spans="1:3">
      <c r="A15" s="2" t="s">
        <v>871</v>
      </c>
      <c r="B15">
        <f>SUM(B12:B14)</f>
        <v>506</v>
      </c>
    </row>
    <row r="17" spans="1:6">
      <c r="A17" s="4" t="s">
        <v>878</v>
      </c>
      <c r="B17" s="4">
        <v>5</v>
      </c>
      <c r="C17" s="3">
        <f>(B17/B25)</f>
        <v>9.881422924901186E-3</v>
      </c>
      <c r="E17">
        <v>3</v>
      </c>
    </row>
    <row r="18" spans="1:6">
      <c r="A18" s="2" t="s">
        <v>11</v>
      </c>
      <c r="B18">
        <v>215</v>
      </c>
      <c r="C18" s="3">
        <f>(B18/B25)</f>
        <v>0.42490118577075098</v>
      </c>
      <c r="E18" s="4">
        <v>215</v>
      </c>
    </row>
    <row r="19" spans="1:6">
      <c r="A19" s="4" t="s">
        <v>880</v>
      </c>
      <c r="B19" s="4">
        <v>21</v>
      </c>
      <c r="C19" s="3">
        <f>(B19/B25)</f>
        <v>4.1501976284584984E-2</v>
      </c>
      <c r="E19" s="4">
        <v>21</v>
      </c>
    </row>
    <row r="20" spans="1:6">
      <c r="A20" s="4" t="s">
        <v>881</v>
      </c>
      <c r="B20" s="4">
        <v>1</v>
      </c>
      <c r="C20" s="3">
        <f>(B20/B25)</f>
        <v>1.976284584980237E-3</v>
      </c>
      <c r="E20">
        <v>3</v>
      </c>
      <c r="F20" t="s">
        <v>963</v>
      </c>
    </row>
    <row r="21" spans="1:6">
      <c r="A21" s="4" t="s">
        <v>879</v>
      </c>
      <c r="B21" s="4">
        <v>38</v>
      </c>
      <c r="C21" s="3">
        <f>(B21/B25)</f>
        <v>7.5098814229249009E-2</v>
      </c>
      <c r="E21" s="4">
        <v>38</v>
      </c>
    </row>
    <row r="22" spans="1:6">
      <c r="A22" s="2" t="s">
        <v>80</v>
      </c>
      <c r="B22">
        <v>33</v>
      </c>
      <c r="C22" s="3">
        <f>(B22/B25)</f>
        <v>6.5217391304347824E-2</v>
      </c>
      <c r="E22" s="4">
        <v>33</v>
      </c>
      <c r="F22" s="2" t="s">
        <v>964</v>
      </c>
    </row>
    <row r="23" spans="1:6">
      <c r="A23" s="2" t="s">
        <v>21</v>
      </c>
      <c r="B23">
        <v>175</v>
      </c>
      <c r="C23" s="3">
        <f>(B23/B25)</f>
        <v>0.3458498023715415</v>
      </c>
      <c r="E23" s="4">
        <v>175</v>
      </c>
    </row>
    <row r="24" spans="1:6">
      <c r="A24" s="2" t="s">
        <v>877</v>
      </c>
      <c r="B24">
        <v>18</v>
      </c>
      <c r="C24" s="3">
        <f>(B24/B25)</f>
        <v>3.5573122529644272E-2</v>
      </c>
      <c r="E24" s="4">
        <v>18</v>
      </c>
    </row>
    <row r="25" spans="1:6">
      <c r="A25" s="2" t="s">
        <v>871</v>
      </c>
      <c r="B25">
        <f>SUM(B17:B24)</f>
        <v>506</v>
      </c>
    </row>
    <row r="26" spans="1:6">
      <c r="A26" s="4" t="s">
        <v>882</v>
      </c>
      <c r="B26" s="4">
        <f>SUM(B17,B19:B21)</f>
        <v>65</v>
      </c>
      <c r="C26" s="5">
        <f>(B26/B25)</f>
        <v>0.12845849802371542</v>
      </c>
      <c r="E26">
        <f>E17+E19+E20+E21</f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Martinez, Brian</cp:lastModifiedBy>
  <dcterms:created xsi:type="dcterms:W3CDTF">2023-12-30T01:35:39Z</dcterms:created>
  <dcterms:modified xsi:type="dcterms:W3CDTF">2024-10-08T00:01:19Z</dcterms:modified>
</cp:coreProperties>
</file>